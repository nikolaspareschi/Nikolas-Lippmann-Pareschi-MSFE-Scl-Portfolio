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kolas\Desktop\"/>
    </mc:Choice>
  </mc:AlternateContent>
  <bookViews>
    <workbookView xWindow="0" yWindow="0" windowWidth="28800" windowHeight="12210" tabRatio="648" firstSheet="2" activeTab="4"/>
  </bookViews>
  <sheets>
    <sheet name="Black_Scholes" sheetId="8" r:id="rId1"/>
    <sheet name="Black_Scholes Optional" sheetId="13" r:id="rId2"/>
    <sheet name="Binomial_model_MSFT data" sheetId="9" r:id="rId3"/>
    <sheet name="Binomial_Tree" sheetId="15" r:id="rId4"/>
    <sheet name="WTI Analysis" sheetId="12" r:id="rId5"/>
    <sheet name="VBA - Black Scholes and Greeks" sheetId="7" r:id="rId6"/>
    <sheet name="VBA - Binomial 5  Steps" sheetId="6" r:id="rId7"/>
    <sheet name="VBA WTI Analysis" sheetId="10" r:id="rId8"/>
    <sheet name="MSFT" sheetId="11" r:id="rId9"/>
  </sheets>
  <functionGroups builtInGroupCount="18"/>
  <externalReferences>
    <externalReference r:id="rId10"/>
    <externalReference r:id="rId11"/>
  </externalReferences>
  <definedNames>
    <definedName name="Dividend">#REF!</definedName>
    <definedName name="Dividend3">'VBA - Black Scholes and Greeks'!$H$14</definedName>
    <definedName name="Dividend4">'VBA - Black Scholes and Greeks'!$H$14</definedName>
    <definedName name="DividendYield">'VBA - Binomial 5  Steps'!$B$13</definedName>
    <definedName name="DivYield">'VBA - Binomial 5  Steps'!$B$13</definedName>
    <definedName name="H">#REF!</definedName>
    <definedName name="K">#REF!</definedName>
    <definedName name="N">#REF!</definedName>
    <definedName name="nSteps">'VBA - Binomial 5  Steps'!$B$12</definedName>
    <definedName name="nsteps2">'VBA - Binomial 5  Steps'!$B$12</definedName>
    <definedName name="RF">#REF!</definedName>
    <definedName name="Risk_Free_Rate">'VBA - Binomial 5  Steps'!$B$9</definedName>
    <definedName name="RiskFreeRate">#REF!</definedName>
    <definedName name="RiskFreeRate3">'VBA - Black Scholes and Greeks'!$H$13</definedName>
    <definedName name="RiskFreeRate4">'VBA - Black Scholes and Greeks'!$H$13</definedName>
    <definedName name="S">#REF!</definedName>
    <definedName name="SD">#REF!</definedName>
    <definedName name="sigma">'VBA - Binomial 5  Steps'!$B$10</definedName>
    <definedName name="sigma2">'VBA - Binomial 5  Steps'!$B$10</definedName>
    <definedName name="Spot_Price">'VBA - Binomial 5  Steps'!$B$7</definedName>
    <definedName name="SpotPrice">'VBA - Binomial 5  Steps'!$B$7</definedName>
    <definedName name="StockPrice">#REF!</definedName>
    <definedName name="StockPrice3">'VBA - Black Scholes and Greeks'!$H$9</definedName>
    <definedName name="StockPrice4">'VBA - Black Scholes and Greeks'!$H$9</definedName>
    <definedName name="Strike_Price">'VBA - Binomial 5  Steps'!$B$8</definedName>
    <definedName name="StrikePrice">#REF!</definedName>
    <definedName name="StrikePrice3">'VBA - Black Scholes and Greeks'!$H$10</definedName>
    <definedName name="StrikePrice4">'VBA - Black Scholes and Greeks'!$H$10</definedName>
    <definedName name="T">#REF!</definedName>
    <definedName name="TIME">#REF!</definedName>
    <definedName name="Time_to_maturity">'VBA - Binomial 5  Steps'!$B$11</definedName>
    <definedName name="TimeToExpiry">#REF!</definedName>
    <definedName name="TimeToExpiry3">'VBA - Black Scholes and Greeks'!$H$11</definedName>
    <definedName name="TimeToExpiry4">'VBA - Black Scholes and Greeks'!$H$11</definedName>
    <definedName name="TimeToMaturity">'VBA - Binomial 5  Steps'!$B$11</definedName>
    <definedName name="Tt">#REF!</definedName>
    <definedName name="Volatility">#REF!</definedName>
    <definedName name="Volatility3">'VBA - Black Scholes and Greeks'!$H$12</definedName>
    <definedName name="Volatility4">'VBA - Black Scholes and Greeks'!$H$12</definedName>
  </definedNames>
  <calcPr calcId="162913"/>
</workbook>
</file>

<file path=xl/calcChain.xml><?xml version="1.0" encoding="utf-8"?>
<calcChain xmlns="http://schemas.openxmlformats.org/spreadsheetml/2006/main">
  <c r="R34" i="12" l="1"/>
  <c r="R36" i="12" l="1"/>
  <c r="R35" i="12"/>
  <c r="Q2" i="12"/>
  <c r="B5" i="15"/>
  <c r="G15" i="15" s="1"/>
  <c r="B12" i="15"/>
  <c r="B16" i="15" s="1"/>
  <c r="B6" i="15"/>
  <c r="B9" i="15"/>
  <c r="J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2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" i="12"/>
  <c r="L4" i="12"/>
  <c r="L5" i="12"/>
  <c r="L6" i="12"/>
  <c r="L7" i="12"/>
  <c r="L8" i="12"/>
  <c r="L9" i="12"/>
  <c r="L10" i="12"/>
  <c r="L11" i="12"/>
  <c r="L2" i="12"/>
  <c r="B13" i="15" l="1"/>
  <c r="B18" i="15"/>
  <c r="Q1" i="12"/>
  <c r="B14" i="15" l="1"/>
  <c r="H17" i="15" s="1"/>
  <c r="H13" i="15"/>
  <c r="I11" i="15" s="1"/>
  <c r="J9" i="15" s="1"/>
  <c r="K7" i="15" s="1"/>
  <c r="B15" i="15" l="1"/>
  <c r="B17" i="15" s="1"/>
  <c r="I19" i="15"/>
  <c r="J21" i="15" s="1"/>
  <c r="K23" i="15" s="1"/>
  <c r="K24" i="15" s="1"/>
  <c r="I15" i="15"/>
  <c r="B6" i="9"/>
  <c r="B5" i="9"/>
  <c r="B4" i="9"/>
  <c r="B3" i="9"/>
  <c r="B2" i="9"/>
  <c r="C2" i="12"/>
  <c r="C3" i="12"/>
  <c r="D3" i="12" s="1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D55" i="12" s="1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I489" i="12" s="1"/>
  <c r="C491" i="12"/>
  <c r="I490" i="12" s="1"/>
  <c r="C492" i="12"/>
  <c r="C493" i="12"/>
  <c r="C494" i="12"/>
  <c r="C495" i="12"/>
  <c r="I494" i="12" s="1"/>
  <c r="C496" i="12"/>
  <c r="I495" i="12" s="1"/>
  <c r="C497" i="12"/>
  <c r="I496" i="12" s="1"/>
  <c r="C498" i="12"/>
  <c r="I497" i="12" s="1"/>
  <c r="C499" i="12"/>
  <c r="C500" i="12"/>
  <c r="C501" i="12"/>
  <c r="C502" i="12"/>
  <c r="C503" i="12"/>
  <c r="I502" i="12" s="1"/>
  <c r="C504" i="12"/>
  <c r="I503" i="12" s="1"/>
  <c r="C505" i="12"/>
  <c r="C506" i="12"/>
  <c r="I505" i="12" s="1"/>
  <c r="C507" i="12"/>
  <c r="B6" i="13"/>
  <c r="B10" i="13"/>
  <c r="B9" i="13"/>
  <c r="D9" i="13" s="1"/>
  <c r="B8" i="13"/>
  <c r="D8" i="13" s="1"/>
  <c r="B7" i="13"/>
  <c r="D7" i="13" s="1"/>
  <c r="D10" i="13"/>
  <c r="D6" i="13"/>
  <c r="B8" i="8"/>
  <c r="B6" i="8"/>
  <c r="B5" i="8"/>
  <c r="B4" i="8"/>
  <c r="J17" i="15" l="1"/>
  <c r="J13" i="15"/>
  <c r="K11" i="15" s="1"/>
  <c r="I500" i="12"/>
  <c r="I492" i="12"/>
  <c r="I499" i="12"/>
  <c r="I491" i="12"/>
  <c r="I498" i="12"/>
  <c r="I504" i="12"/>
  <c r="I506" i="12"/>
  <c r="I507" i="12"/>
  <c r="I501" i="12"/>
  <c r="I493" i="12"/>
  <c r="D330" i="12"/>
  <c r="D322" i="12"/>
  <c r="D314" i="12"/>
  <c r="D306" i="12"/>
  <c r="D298" i="12"/>
  <c r="D290" i="12"/>
  <c r="D282" i="12"/>
  <c r="D274" i="12"/>
  <c r="D266" i="12"/>
  <c r="D258" i="12"/>
  <c r="D250" i="12"/>
  <c r="D242" i="12"/>
  <c r="D234" i="12"/>
  <c r="D226" i="12"/>
  <c r="D218" i="12"/>
  <c r="D210" i="12"/>
  <c r="D202" i="12"/>
  <c r="D194" i="12"/>
  <c r="D186" i="12"/>
  <c r="D178" i="12"/>
  <c r="D170" i="12"/>
  <c r="D162" i="12"/>
  <c r="D154" i="12"/>
  <c r="D146" i="12"/>
  <c r="D138" i="12"/>
  <c r="D130" i="12"/>
  <c r="D122" i="12"/>
  <c r="D114" i="12"/>
  <c r="D106" i="12"/>
  <c r="D98" i="12"/>
  <c r="D90" i="12"/>
  <c r="D82" i="12"/>
  <c r="D74" i="12"/>
  <c r="D66" i="12"/>
  <c r="D58" i="12"/>
  <c r="D50" i="12"/>
  <c r="D42" i="12"/>
  <c r="D34" i="12"/>
  <c r="D26" i="12"/>
  <c r="D18" i="12"/>
  <c r="D10" i="12"/>
  <c r="D2" i="12"/>
  <c r="D43" i="12"/>
  <c r="D500" i="12"/>
  <c r="D492" i="12"/>
  <c r="D484" i="12"/>
  <c r="D476" i="12"/>
  <c r="D468" i="12"/>
  <c r="D460" i="12"/>
  <c r="D452" i="12"/>
  <c r="D444" i="12"/>
  <c r="D436" i="12"/>
  <c r="D428" i="12"/>
  <c r="D420" i="12"/>
  <c r="D412" i="12"/>
  <c r="D404" i="12"/>
  <c r="D388" i="12"/>
  <c r="D380" i="12"/>
  <c r="D372" i="12"/>
  <c r="D364" i="12"/>
  <c r="D348" i="12"/>
  <c r="D124" i="12"/>
  <c r="D116" i="12"/>
  <c r="D108" i="12"/>
  <c r="D100" i="12"/>
  <c r="D92" i="12"/>
  <c r="D84" i="12"/>
  <c r="D76" i="12"/>
  <c r="D68" i="12"/>
  <c r="D60" i="12"/>
  <c r="D31" i="12"/>
  <c r="D23" i="12"/>
  <c r="D15" i="12"/>
  <c r="D7" i="12"/>
  <c r="D396" i="12"/>
  <c r="D397" i="12"/>
  <c r="D356" i="12"/>
  <c r="D359" i="12"/>
  <c r="D340" i="12"/>
  <c r="D347" i="12"/>
  <c r="D324" i="12"/>
  <c r="D327" i="12"/>
  <c r="D308" i="12"/>
  <c r="D311" i="12"/>
  <c r="D292" i="12"/>
  <c r="D295" i="12"/>
  <c r="D276" i="12"/>
  <c r="D279" i="12"/>
  <c r="D260" i="12"/>
  <c r="D263" i="12"/>
  <c r="D244" i="12"/>
  <c r="D247" i="12"/>
  <c r="D228" i="12"/>
  <c r="D231" i="12"/>
  <c r="D212" i="12"/>
  <c r="D215" i="12"/>
  <c r="D204" i="12"/>
  <c r="D207" i="12"/>
  <c r="D188" i="12"/>
  <c r="D191" i="12"/>
  <c r="D172" i="12"/>
  <c r="D175" i="12"/>
  <c r="D164" i="12"/>
  <c r="D167" i="12"/>
  <c r="D148" i="12"/>
  <c r="D151" i="12"/>
  <c r="D140" i="12"/>
  <c r="D143" i="12"/>
  <c r="D132" i="12"/>
  <c r="D135" i="12"/>
  <c r="D499" i="12"/>
  <c r="D482" i="12"/>
  <c r="D450" i="12"/>
  <c r="D498" i="12"/>
  <c r="D458" i="12"/>
  <c r="D434" i="12"/>
  <c r="D435" i="12"/>
  <c r="D506" i="12"/>
  <c r="D474" i="12"/>
  <c r="D426" i="12"/>
  <c r="D473" i="12"/>
  <c r="D448" i="12"/>
  <c r="D466" i="12"/>
  <c r="D487" i="12"/>
  <c r="D423" i="12"/>
  <c r="D409" i="12"/>
  <c r="D490" i="12"/>
  <c r="D442" i="12"/>
  <c r="D461" i="12"/>
  <c r="J460" i="12" s="1"/>
  <c r="D332" i="12"/>
  <c r="D336" i="12"/>
  <c r="D316" i="12"/>
  <c r="D319" i="12"/>
  <c r="D300" i="12"/>
  <c r="D303" i="12"/>
  <c r="D284" i="12"/>
  <c r="D287" i="12"/>
  <c r="D268" i="12"/>
  <c r="D271" i="12"/>
  <c r="D252" i="12"/>
  <c r="D255" i="12"/>
  <c r="D236" i="12"/>
  <c r="D239" i="12"/>
  <c r="D220" i="12"/>
  <c r="D223" i="12"/>
  <c r="D196" i="12"/>
  <c r="D199" i="12"/>
  <c r="D180" i="12"/>
  <c r="D183" i="12"/>
  <c r="D156" i="12"/>
  <c r="D159" i="12"/>
  <c r="D119" i="12"/>
  <c r="D505" i="12"/>
  <c r="D497" i="12"/>
  <c r="D489" i="12"/>
  <c r="D481" i="12"/>
  <c r="D465" i="12"/>
  <c r="D457" i="12"/>
  <c r="D449" i="12"/>
  <c r="J448" i="12" s="1"/>
  <c r="D441" i="12"/>
  <c r="D433" i="12"/>
  <c r="D425" i="12"/>
  <c r="D417" i="12"/>
  <c r="D401" i="12"/>
  <c r="D393" i="12"/>
  <c r="D385" i="12"/>
  <c r="D377" i="12"/>
  <c r="D369" i="12"/>
  <c r="D361" i="12"/>
  <c r="D353" i="12"/>
  <c r="D345" i="12"/>
  <c r="D337" i="12"/>
  <c r="D329" i="12"/>
  <c r="D321" i="12"/>
  <c r="D313" i="12"/>
  <c r="D305" i="12"/>
  <c r="D297" i="12"/>
  <c r="D289" i="12"/>
  <c r="D281" i="12"/>
  <c r="D273" i="12"/>
  <c r="D265" i="12"/>
  <c r="D257" i="12"/>
  <c r="D249" i="12"/>
  <c r="D241" i="12"/>
  <c r="D233" i="12"/>
  <c r="D225" i="12"/>
  <c r="D217" i="12"/>
  <c r="D209" i="12"/>
  <c r="D201" i="12"/>
  <c r="D193" i="12"/>
  <c r="D185" i="12"/>
  <c r="D177" i="12"/>
  <c r="D169" i="12"/>
  <c r="D161" i="12"/>
  <c r="D153" i="12"/>
  <c r="D145" i="12"/>
  <c r="D137" i="12"/>
  <c r="D129" i="12"/>
  <c r="D121" i="12"/>
  <c r="D113" i="12"/>
  <c r="D105" i="12"/>
  <c r="D97" i="12"/>
  <c r="D89" i="12"/>
  <c r="D81" i="12"/>
  <c r="D73" i="12"/>
  <c r="D65" i="12"/>
  <c r="D57" i="12"/>
  <c r="D49" i="12"/>
  <c r="D41" i="12"/>
  <c r="D33" i="12"/>
  <c r="D25" i="12"/>
  <c r="D17" i="12"/>
  <c r="D9" i="12"/>
  <c r="D63" i="12"/>
  <c r="D127" i="12"/>
  <c r="D496" i="12"/>
  <c r="D480" i="12"/>
  <c r="D464" i="12"/>
  <c r="D432" i="12"/>
  <c r="D416" i="12"/>
  <c r="D400" i="12"/>
  <c r="D368" i="12"/>
  <c r="D352" i="12"/>
  <c r="D328" i="12"/>
  <c r="D312" i="12"/>
  <c r="D296" i="12"/>
  <c r="D280" i="12"/>
  <c r="D264" i="12"/>
  <c r="D248" i="12"/>
  <c r="D232" i="12"/>
  <c r="D216" i="12"/>
  <c r="D200" i="12"/>
  <c r="D184" i="12"/>
  <c r="D168" i="12"/>
  <c r="D152" i="12"/>
  <c r="D136" i="12"/>
  <c r="D120" i="12"/>
  <c r="D112" i="12"/>
  <c r="D96" i="12"/>
  <c r="D88" i="12"/>
  <c r="D80" i="12"/>
  <c r="D72" i="12"/>
  <c r="D64" i="12"/>
  <c r="D56" i="12"/>
  <c r="D48" i="12"/>
  <c r="D35" i="12"/>
  <c r="D27" i="12"/>
  <c r="D19" i="12"/>
  <c r="D11" i="12"/>
  <c r="D71" i="12"/>
  <c r="D507" i="12"/>
  <c r="D504" i="12"/>
  <c r="D488" i="12"/>
  <c r="J487" i="12" s="1"/>
  <c r="D472" i="12"/>
  <c r="D456" i="12"/>
  <c r="D440" i="12"/>
  <c r="D424" i="12"/>
  <c r="D408" i="12"/>
  <c r="D392" i="12"/>
  <c r="D376" i="12"/>
  <c r="D360" i="12"/>
  <c r="D344" i="12"/>
  <c r="D320" i="12"/>
  <c r="D304" i="12"/>
  <c r="D288" i="12"/>
  <c r="D272" i="12"/>
  <c r="D256" i="12"/>
  <c r="D240" i="12"/>
  <c r="D224" i="12"/>
  <c r="D208" i="12"/>
  <c r="D192" i="12"/>
  <c r="D176" i="12"/>
  <c r="D160" i="12"/>
  <c r="D144" i="12"/>
  <c r="D128" i="12"/>
  <c r="D104" i="12"/>
  <c r="D503" i="12"/>
  <c r="D495" i="12"/>
  <c r="D479" i="12"/>
  <c r="D471" i="12"/>
  <c r="D463" i="12"/>
  <c r="D455" i="12"/>
  <c r="D447" i="12"/>
  <c r="J446" i="12" s="1"/>
  <c r="D439" i="12"/>
  <c r="D431" i="12"/>
  <c r="D415" i="12"/>
  <c r="D407" i="12"/>
  <c r="D399" i="12"/>
  <c r="D391" i="12"/>
  <c r="J390" i="12" s="1"/>
  <c r="D383" i="12"/>
  <c r="D375" i="12"/>
  <c r="D367" i="12"/>
  <c r="D351" i="12"/>
  <c r="D343" i="12"/>
  <c r="D335" i="12"/>
  <c r="D79" i="12"/>
  <c r="D494" i="12"/>
  <c r="D478" i="12"/>
  <c r="D462" i="12"/>
  <c r="J461" i="12" s="1"/>
  <c r="D446" i="12"/>
  <c r="D430" i="12"/>
  <c r="D406" i="12"/>
  <c r="D390" i="12"/>
  <c r="D374" i="12"/>
  <c r="D326" i="12"/>
  <c r="D310" i="12"/>
  <c r="D294" i="12"/>
  <c r="D278" i="12"/>
  <c r="D262" i="12"/>
  <c r="D246" i="12"/>
  <c r="D230" i="12"/>
  <c r="D214" i="12"/>
  <c r="D198" i="12"/>
  <c r="D182" i="12"/>
  <c r="D174" i="12"/>
  <c r="D166" i="12"/>
  <c r="D158" i="12"/>
  <c r="D142" i="12"/>
  <c r="D134" i="12"/>
  <c r="D126" i="12"/>
  <c r="D118" i="12"/>
  <c r="D110" i="12"/>
  <c r="D102" i="12"/>
  <c r="D94" i="12"/>
  <c r="D86" i="12"/>
  <c r="D78" i="12"/>
  <c r="D70" i="12"/>
  <c r="D62" i="12"/>
  <c r="D54" i="12"/>
  <c r="D46" i="12"/>
  <c r="D38" i="12"/>
  <c r="D30" i="12"/>
  <c r="D22" i="12"/>
  <c r="D14" i="12"/>
  <c r="D6" i="12"/>
  <c r="D87" i="12"/>
  <c r="D502" i="12"/>
  <c r="D486" i="12"/>
  <c r="D470" i="12"/>
  <c r="D454" i="12"/>
  <c r="D438" i="12"/>
  <c r="D422" i="12"/>
  <c r="D414" i="12"/>
  <c r="D398" i="12"/>
  <c r="J397" i="12" s="1"/>
  <c r="D382" i="12"/>
  <c r="D366" i="12"/>
  <c r="D318" i="12"/>
  <c r="D302" i="12"/>
  <c r="D286" i="12"/>
  <c r="D270" i="12"/>
  <c r="D254" i="12"/>
  <c r="D238" i="12"/>
  <c r="D222" i="12"/>
  <c r="D206" i="12"/>
  <c r="D190" i="12"/>
  <c r="D150" i="12"/>
  <c r="D501" i="12"/>
  <c r="J500" i="12" s="1"/>
  <c r="D493" i="12"/>
  <c r="J492" i="12" s="1"/>
  <c r="D485" i="12"/>
  <c r="D477" i="12"/>
  <c r="J476" i="12" s="1"/>
  <c r="D469" i="12"/>
  <c r="D453" i="12"/>
  <c r="J452" i="12" s="1"/>
  <c r="D445" i="12"/>
  <c r="J444" i="12" s="1"/>
  <c r="D437" i="12"/>
  <c r="J436" i="12" s="1"/>
  <c r="D429" i="12"/>
  <c r="J428" i="12" s="1"/>
  <c r="D421" i="12"/>
  <c r="J420" i="12" s="1"/>
  <c r="D413" i="12"/>
  <c r="J412" i="12" s="1"/>
  <c r="D405" i="12"/>
  <c r="J404" i="12" s="1"/>
  <c r="D389" i="12"/>
  <c r="D381" i="12"/>
  <c r="D373" i="12"/>
  <c r="D365" i="12"/>
  <c r="D357" i="12"/>
  <c r="D349" i="12"/>
  <c r="D341" i="12"/>
  <c r="D333" i="12"/>
  <c r="D325" i="12"/>
  <c r="D317" i="12"/>
  <c r="D309" i="12"/>
  <c r="D301" i="12"/>
  <c r="D293" i="12"/>
  <c r="D285" i="12"/>
  <c r="D277" i="12"/>
  <c r="D269" i="12"/>
  <c r="D261" i="12"/>
  <c r="D253" i="12"/>
  <c r="D245" i="12"/>
  <c r="D237" i="12"/>
  <c r="D229" i="12"/>
  <c r="D221" i="12"/>
  <c r="D213" i="12"/>
  <c r="D205" i="12"/>
  <c r="D197" i="12"/>
  <c r="D189" i="12"/>
  <c r="D181" i="12"/>
  <c r="D173" i="12"/>
  <c r="D165" i="12"/>
  <c r="D157" i="12"/>
  <c r="D149" i="12"/>
  <c r="D141" i="12"/>
  <c r="D133" i="12"/>
  <c r="D125" i="12"/>
  <c r="D117" i="12"/>
  <c r="D109" i="12"/>
  <c r="D101" i="12"/>
  <c r="D93" i="12"/>
  <c r="D85" i="12"/>
  <c r="D77" i="12"/>
  <c r="D69" i="12"/>
  <c r="D61" i="12"/>
  <c r="D95" i="12"/>
  <c r="D53" i="12"/>
  <c r="D52" i="12"/>
  <c r="D45" i="12"/>
  <c r="D44" i="12"/>
  <c r="D37" i="12"/>
  <c r="D36" i="12"/>
  <c r="D29" i="12"/>
  <c r="D28" i="12"/>
  <c r="D21" i="12"/>
  <c r="D20" i="12"/>
  <c r="D13" i="12"/>
  <c r="D12" i="12"/>
  <c r="D5" i="12"/>
  <c r="D4" i="12"/>
  <c r="D39" i="12"/>
  <c r="D103" i="12"/>
  <c r="D371" i="12"/>
  <c r="D491" i="12"/>
  <c r="J490" i="12" s="1"/>
  <c r="D483" i="12"/>
  <c r="J482" i="12" s="1"/>
  <c r="D475" i="12"/>
  <c r="J474" i="12" s="1"/>
  <c r="D467" i="12"/>
  <c r="J466" i="12" s="1"/>
  <c r="D459" i="12"/>
  <c r="J458" i="12" s="1"/>
  <c r="D451" i="12"/>
  <c r="J450" i="12" s="1"/>
  <c r="D443" i="12"/>
  <c r="D427" i="12"/>
  <c r="D419" i="12"/>
  <c r="D411" i="12"/>
  <c r="J410" i="12" s="1"/>
  <c r="D403" i="12"/>
  <c r="D395" i="12"/>
  <c r="D387" i="12"/>
  <c r="D379" i="12"/>
  <c r="D363" i="12"/>
  <c r="D355" i="12"/>
  <c r="D339" i="12"/>
  <c r="D331" i="12"/>
  <c r="D323" i="12"/>
  <c r="D315" i="12"/>
  <c r="D307" i="12"/>
  <c r="D299" i="12"/>
  <c r="D291" i="12"/>
  <c r="D283" i="12"/>
  <c r="D275" i="12"/>
  <c r="D267" i="12"/>
  <c r="D259" i="12"/>
  <c r="D251" i="12"/>
  <c r="D243" i="12"/>
  <c r="D235" i="12"/>
  <c r="D227" i="12"/>
  <c r="D219" i="12"/>
  <c r="D211" i="12"/>
  <c r="D203" i="12"/>
  <c r="D195" i="12"/>
  <c r="D187" i="12"/>
  <c r="D179" i="12"/>
  <c r="D171" i="12"/>
  <c r="D163" i="12"/>
  <c r="D155" i="12"/>
  <c r="D147" i="12"/>
  <c r="D139" i="12"/>
  <c r="D131" i="12"/>
  <c r="D123" i="12"/>
  <c r="D115" i="12"/>
  <c r="D107" i="12"/>
  <c r="D99" i="12"/>
  <c r="D91" i="12"/>
  <c r="D83" i="12"/>
  <c r="D75" i="12"/>
  <c r="D67" i="12"/>
  <c r="D59" i="12"/>
  <c r="D51" i="12"/>
  <c r="D47" i="12"/>
  <c r="D111" i="12"/>
  <c r="D384" i="12"/>
  <c r="D8" i="12"/>
  <c r="D16" i="12"/>
  <c r="D24" i="12"/>
  <c r="D32" i="12"/>
  <c r="D40" i="12"/>
  <c r="D418" i="12"/>
  <c r="J417" i="12" s="1"/>
  <c r="D410" i="12"/>
  <c r="D402" i="12"/>
  <c r="J401" i="12" s="1"/>
  <c r="D394" i="12"/>
  <c r="J393" i="12" s="1"/>
  <c r="D386" i="12"/>
  <c r="D378" i="12"/>
  <c r="D370" i="12"/>
  <c r="D362" i="12"/>
  <c r="D354" i="12"/>
  <c r="D346" i="12"/>
  <c r="D338" i="12"/>
  <c r="D358" i="12"/>
  <c r="D350" i="12"/>
  <c r="D342" i="12"/>
  <c r="D334" i="12"/>
  <c r="B13" i="13"/>
  <c r="B15" i="13" s="1"/>
  <c r="D13" i="13"/>
  <c r="K19" i="15" l="1"/>
  <c r="K20" i="15" s="1"/>
  <c r="K15" i="15"/>
  <c r="K16" i="15" s="1"/>
  <c r="J396" i="12"/>
  <c r="J409" i="12"/>
  <c r="J485" i="12"/>
  <c r="J454" i="12"/>
  <c r="J407" i="12"/>
  <c r="J463" i="12"/>
  <c r="J424" i="12"/>
  <c r="J501" i="12"/>
  <c r="J493" i="12"/>
  <c r="J423" i="12"/>
  <c r="J394" i="12"/>
  <c r="J470" i="12"/>
  <c r="J439" i="12"/>
  <c r="J495" i="12"/>
  <c r="J441" i="12"/>
  <c r="J425" i="12"/>
  <c r="J481" i="12"/>
  <c r="J403" i="12"/>
  <c r="J484" i="12"/>
  <c r="J440" i="12"/>
  <c r="J467" i="12"/>
  <c r="J402" i="12"/>
  <c r="J413" i="12"/>
  <c r="J406" i="12"/>
  <c r="J478" i="12"/>
  <c r="J455" i="12"/>
  <c r="J489" i="12"/>
  <c r="J473" i="12"/>
  <c r="J498" i="12"/>
  <c r="J411" i="12"/>
  <c r="J475" i="12"/>
  <c r="J421" i="12"/>
  <c r="J405" i="12"/>
  <c r="J414" i="12"/>
  <c r="J494" i="12"/>
  <c r="J471" i="12"/>
  <c r="J456" i="12"/>
  <c r="J408" i="12"/>
  <c r="J505" i="12"/>
  <c r="J419" i="12"/>
  <c r="J483" i="12"/>
  <c r="J418" i="12"/>
  <c r="J437" i="12"/>
  <c r="J429" i="12"/>
  <c r="J430" i="12"/>
  <c r="J502" i="12"/>
  <c r="J399" i="12"/>
  <c r="J392" i="12"/>
  <c r="J464" i="12"/>
  <c r="J422" i="12"/>
  <c r="J434" i="12"/>
  <c r="J427" i="12"/>
  <c r="J491" i="12"/>
  <c r="J426" i="12"/>
  <c r="J453" i="12"/>
  <c r="J445" i="12"/>
  <c r="J438" i="12"/>
  <c r="J503" i="12"/>
  <c r="J415" i="12"/>
  <c r="J400" i="12"/>
  <c r="J480" i="12"/>
  <c r="J486" i="12"/>
  <c r="J433" i="12"/>
  <c r="J435" i="12"/>
  <c r="J499" i="12"/>
  <c r="J398" i="12"/>
  <c r="J442" i="12"/>
  <c r="J469" i="12"/>
  <c r="J391" i="12"/>
  <c r="J506" i="12"/>
  <c r="J507" i="12"/>
  <c r="J431" i="12"/>
  <c r="J416" i="12"/>
  <c r="J488" i="12"/>
  <c r="J465" i="12"/>
  <c r="J457" i="12"/>
  <c r="J395" i="12"/>
  <c r="J443" i="12"/>
  <c r="J477" i="12"/>
  <c r="J496" i="12"/>
  <c r="J447" i="12"/>
  <c r="J497" i="12"/>
  <c r="J451" i="12"/>
  <c r="J468" i="12"/>
  <c r="J462" i="12"/>
  <c r="J479" i="12"/>
  <c r="J432" i="12"/>
  <c r="J504" i="12"/>
  <c r="J472" i="12"/>
  <c r="J449" i="12"/>
  <c r="J459" i="12"/>
  <c r="D15" i="13"/>
  <c r="D17" i="13"/>
  <c r="B17" i="13"/>
  <c r="D18" i="13" l="1"/>
  <c r="D20" i="13" s="1"/>
  <c r="D21" i="13"/>
  <c r="B21" i="13"/>
  <c r="B18" i="13"/>
  <c r="B20" i="13" s="1"/>
  <c r="D25" i="13" l="1"/>
  <c r="B25" i="13"/>
  <c r="J22" i="15" l="1"/>
  <c r="J18" i="15" l="1"/>
  <c r="I20" i="15" s="1"/>
  <c r="K12" i="15"/>
  <c r="J14" i="15" s="1"/>
  <c r="K8" i="15"/>
  <c r="I16" i="15" l="1"/>
  <c r="H18" i="15" s="1"/>
  <c r="J10" i="15"/>
  <c r="I12" i="15" s="1"/>
  <c r="H14" i="15" l="1"/>
  <c r="G16" i="15" s="1"/>
  <c r="F2" i="12" l="1"/>
  <c r="E2" i="12"/>
  <c r="F3" i="12"/>
  <c r="E3" i="12"/>
  <c r="F4" i="12"/>
  <c r="E4" i="12"/>
  <c r="F5" i="12"/>
  <c r="E5" i="12"/>
  <c r="F6" i="12"/>
  <c r="E6" i="12"/>
  <c r="F7" i="12"/>
  <c r="E7" i="12"/>
  <c r="F8" i="12"/>
  <c r="E8" i="12"/>
  <c r="F9" i="12"/>
  <c r="E9" i="12"/>
  <c r="F10" i="12"/>
  <c r="E10" i="12"/>
  <c r="F11" i="12"/>
  <c r="E11" i="12"/>
  <c r="F12" i="12"/>
  <c r="E12" i="12"/>
  <c r="F13" i="12"/>
  <c r="E13" i="12"/>
  <c r="F14" i="12"/>
  <c r="E14" i="12"/>
  <c r="F15" i="12"/>
  <c r="E15" i="12"/>
  <c r="F16" i="12"/>
  <c r="E16" i="12"/>
  <c r="F17" i="12"/>
  <c r="E17" i="12"/>
  <c r="F18" i="12"/>
  <c r="E18" i="12"/>
  <c r="F19" i="12"/>
  <c r="E19" i="12"/>
  <c r="F20" i="12"/>
  <c r="E20" i="12"/>
  <c r="F21" i="12"/>
  <c r="E21" i="12"/>
  <c r="F22" i="12"/>
  <c r="E22" i="12"/>
  <c r="F23" i="12"/>
  <c r="E23" i="12"/>
  <c r="F24" i="12"/>
  <c r="E24" i="12"/>
  <c r="F25" i="12"/>
  <c r="E25" i="12"/>
  <c r="F26" i="12"/>
  <c r="E26" i="12"/>
  <c r="F27" i="12"/>
  <c r="E27" i="12"/>
  <c r="F28" i="12"/>
  <c r="E28" i="12"/>
  <c r="F29" i="12"/>
  <c r="E29" i="12"/>
  <c r="F30" i="12"/>
  <c r="E30" i="12"/>
  <c r="F31" i="12"/>
  <c r="E31" i="12"/>
  <c r="F32" i="12"/>
  <c r="E32" i="12"/>
  <c r="F33" i="12"/>
  <c r="E33" i="12"/>
  <c r="F34" i="12"/>
  <c r="E34" i="12"/>
  <c r="F35" i="12"/>
  <c r="E35" i="12"/>
  <c r="F36" i="12"/>
  <c r="E36" i="12"/>
  <c r="F37" i="12"/>
  <c r="E37" i="12"/>
  <c r="F38" i="12"/>
  <c r="E38" i="12"/>
  <c r="F39" i="12"/>
  <c r="E39" i="12"/>
  <c r="F40" i="12"/>
  <c r="E40" i="12"/>
  <c r="F41" i="12"/>
  <c r="E41" i="12"/>
  <c r="F42" i="12"/>
  <c r="E42" i="12"/>
  <c r="F43" i="12"/>
  <c r="E43" i="12"/>
  <c r="F44" i="12"/>
  <c r="E44" i="12"/>
  <c r="F45" i="12"/>
  <c r="E45" i="12"/>
  <c r="F46" i="12"/>
  <c r="E46" i="12"/>
  <c r="F47" i="12"/>
  <c r="E47" i="12"/>
  <c r="F48" i="12"/>
  <c r="E48" i="12"/>
  <c r="F49" i="12"/>
  <c r="E49" i="12"/>
  <c r="F50" i="12"/>
  <c r="E50" i="12"/>
  <c r="F51" i="12"/>
  <c r="E51" i="12"/>
  <c r="F52" i="12"/>
  <c r="E52" i="12"/>
  <c r="F53" i="12"/>
  <c r="E53" i="12"/>
  <c r="F54" i="12"/>
  <c r="E54" i="12"/>
  <c r="F55" i="12"/>
  <c r="E55" i="12"/>
  <c r="F56" i="12"/>
  <c r="E56" i="12"/>
  <c r="F57" i="12"/>
  <c r="E57" i="12"/>
  <c r="F58" i="12"/>
  <c r="E58" i="12"/>
  <c r="F59" i="12"/>
  <c r="E59" i="12"/>
  <c r="F60" i="12"/>
  <c r="E60" i="12"/>
  <c r="F61" i="12"/>
  <c r="E61" i="12"/>
  <c r="F62" i="12"/>
  <c r="E62" i="12"/>
  <c r="F63" i="12"/>
  <c r="E63" i="12"/>
  <c r="F64" i="12"/>
  <c r="E64" i="12"/>
  <c r="F65" i="12"/>
  <c r="E65" i="12"/>
  <c r="F66" i="12"/>
  <c r="E66" i="12"/>
  <c r="F67" i="12"/>
  <c r="E67" i="12"/>
  <c r="F68" i="12"/>
  <c r="E68" i="12"/>
  <c r="F69" i="12"/>
  <c r="E69" i="12"/>
  <c r="F70" i="12"/>
  <c r="E70" i="12"/>
  <c r="F71" i="12"/>
  <c r="E71" i="12"/>
  <c r="F72" i="12"/>
  <c r="E72" i="12"/>
  <c r="F73" i="12"/>
  <c r="E73" i="12"/>
  <c r="F74" i="12"/>
  <c r="E74" i="12"/>
  <c r="F75" i="12"/>
  <c r="E75" i="12"/>
  <c r="F76" i="12"/>
  <c r="E76" i="12"/>
  <c r="F77" i="12"/>
  <c r="E77" i="12"/>
  <c r="F78" i="12"/>
  <c r="E78" i="12"/>
  <c r="F79" i="12"/>
  <c r="E79" i="12"/>
  <c r="F80" i="12"/>
  <c r="E80" i="12"/>
  <c r="F81" i="12"/>
  <c r="E81" i="12"/>
  <c r="F82" i="12"/>
  <c r="E82" i="12"/>
  <c r="F83" i="12"/>
  <c r="E83" i="12"/>
  <c r="F84" i="12"/>
  <c r="E84" i="12"/>
  <c r="F85" i="12"/>
  <c r="E85" i="12"/>
  <c r="F86" i="12"/>
  <c r="E86" i="12"/>
  <c r="F87" i="12"/>
  <c r="E87" i="12"/>
  <c r="F88" i="12"/>
  <c r="E88" i="12"/>
  <c r="F89" i="12"/>
  <c r="E89" i="12"/>
  <c r="F90" i="12"/>
  <c r="E90" i="12"/>
  <c r="F91" i="12"/>
  <c r="E91" i="12"/>
  <c r="F92" i="12"/>
  <c r="E92" i="12"/>
  <c r="F93" i="12"/>
  <c r="E93" i="12"/>
  <c r="F94" i="12"/>
  <c r="E94" i="12"/>
  <c r="F95" i="12"/>
  <c r="E95" i="12"/>
  <c r="F96" i="12"/>
  <c r="E96" i="12"/>
  <c r="F97" i="12"/>
  <c r="E97" i="12"/>
  <c r="F98" i="12"/>
  <c r="E98" i="12"/>
  <c r="F99" i="12"/>
  <c r="E99" i="12"/>
  <c r="F100" i="12"/>
  <c r="E100" i="12"/>
  <c r="F101" i="12"/>
  <c r="E101" i="12"/>
  <c r="F102" i="12"/>
  <c r="E102" i="12"/>
  <c r="F103" i="12"/>
  <c r="E103" i="12"/>
  <c r="F104" i="12"/>
  <c r="E104" i="12"/>
  <c r="F105" i="12"/>
  <c r="E105" i="12"/>
  <c r="F106" i="12"/>
  <c r="E106" i="12"/>
  <c r="F107" i="12"/>
  <c r="E107" i="12"/>
  <c r="F108" i="12"/>
  <c r="E108" i="12"/>
  <c r="F109" i="12"/>
  <c r="E109" i="12"/>
  <c r="F110" i="12"/>
  <c r="E110" i="12"/>
  <c r="F111" i="12"/>
  <c r="E111" i="12"/>
  <c r="F112" i="12"/>
  <c r="E112" i="12"/>
  <c r="F113" i="12"/>
  <c r="E113" i="12"/>
  <c r="F114" i="12"/>
  <c r="E114" i="12"/>
  <c r="F115" i="12"/>
  <c r="E115" i="12"/>
  <c r="F116" i="12"/>
  <c r="E116" i="12"/>
  <c r="F117" i="12"/>
  <c r="E117" i="12"/>
  <c r="F118" i="12"/>
  <c r="E118" i="12"/>
  <c r="F119" i="12"/>
  <c r="E119" i="12"/>
  <c r="F120" i="12"/>
  <c r="E120" i="12"/>
  <c r="F121" i="12"/>
  <c r="E121" i="12"/>
  <c r="F122" i="12"/>
  <c r="E122" i="12"/>
  <c r="F123" i="12"/>
  <c r="E123" i="12"/>
  <c r="F124" i="12"/>
  <c r="E124" i="12"/>
  <c r="F125" i="12"/>
  <c r="E125" i="12"/>
  <c r="F126" i="12"/>
  <c r="E126" i="12"/>
  <c r="F127" i="12"/>
  <c r="E127" i="12"/>
  <c r="F128" i="12"/>
  <c r="E128" i="12"/>
  <c r="F129" i="12"/>
  <c r="E129" i="12"/>
  <c r="F130" i="12"/>
  <c r="E130" i="12"/>
  <c r="F131" i="12"/>
  <c r="E131" i="12"/>
  <c r="F132" i="12"/>
  <c r="E132" i="12"/>
  <c r="F133" i="12"/>
  <c r="E133" i="12"/>
  <c r="F134" i="12"/>
  <c r="E134" i="12"/>
  <c r="F135" i="12"/>
  <c r="E135" i="12"/>
  <c r="F136" i="12"/>
  <c r="E136" i="12"/>
  <c r="F137" i="12"/>
  <c r="E137" i="12"/>
  <c r="F138" i="12"/>
  <c r="E138" i="12"/>
  <c r="F139" i="12"/>
  <c r="E139" i="12"/>
  <c r="F140" i="12"/>
  <c r="E140" i="12"/>
  <c r="F141" i="12"/>
  <c r="E141" i="12"/>
  <c r="F142" i="12"/>
  <c r="E142" i="12"/>
  <c r="F143" i="12"/>
  <c r="E143" i="12"/>
  <c r="F144" i="12"/>
  <c r="E144" i="12"/>
  <c r="F145" i="12"/>
  <c r="E145" i="12"/>
  <c r="F146" i="12"/>
  <c r="E146" i="12"/>
  <c r="F147" i="12"/>
  <c r="E147" i="12"/>
  <c r="F148" i="12"/>
  <c r="E148" i="12"/>
  <c r="F149" i="12"/>
  <c r="E149" i="12"/>
  <c r="F150" i="12"/>
  <c r="E150" i="12"/>
  <c r="F151" i="12"/>
  <c r="E151" i="12"/>
  <c r="F152" i="12"/>
  <c r="E152" i="12"/>
  <c r="F153" i="12"/>
  <c r="E153" i="12"/>
  <c r="F154" i="12"/>
  <c r="E154" i="12"/>
  <c r="F155" i="12"/>
  <c r="E155" i="12"/>
  <c r="F156" i="12"/>
  <c r="E156" i="12"/>
  <c r="F157" i="12"/>
  <c r="E157" i="12"/>
  <c r="F158" i="12"/>
  <c r="E158" i="12"/>
  <c r="F159" i="12"/>
  <c r="E159" i="12"/>
  <c r="F160" i="12"/>
  <c r="E160" i="12"/>
  <c r="F161" i="12"/>
  <c r="E161" i="12"/>
  <c r="F162" i="12"/>
  <c r="E162" i="12"/>
  <c r="F163" i="12"/>
  <c r="E163" i="12"/>
  <c r="F164" i="12"/>
  <c r="E164" i="12"/>
  <c r="F165" i="12"/>
  <c r="E165" i="12"/>
  <c r="F166" i="12"/>
  <c r="E166" i="12"/>
  <c r="F167" i="12"/>
  <c r="E167" i="12"/>
  <c r="F168" i="12"/>
  <c r="E168" i="12"/>
  <c r="F169" i="12"/>
  <c r="E169" i="12"/>
  <c r="F170" i="12"/>
  <c r="E170" i="12"/>
  <c r="F171" i="12"/>
  <c r="E171" i="12"/>
  <c r="F172" i="12"/>
  <c r="E172" i="12"/>
  <c r="F173" i="12"/>
  <c r="E173" i="12"/>
  <c r="F174" i="12"/>
  <c r="E174" i="12"/>
  <c r="F175" i="12"/>
  <c r="E175" i="12"/>
  <c r="F176" i="12"/>
  <c r="E176" i="12"/>
  <c r="F177" i="12"/>
  <c r="E177" i="12"/>
  <c r="F178" i="12"/>
  <c r="E178" i="12"/>
  <c r="F179" i="12"/>
  <c r="E179" i="12"/>
  <c r="F180" i="12"/>
  <c r="E180" i="12"/>
  <c r="F181" i="12"/>
  <c r="E181" i="12"/>
  <c r="F182" i="12"/>
  <c r="E182" i="12"/>
  <c r="F183" i="12"/>
  <c r="E183" i="12"/>
  <c r="F184" i="12"/>
  <c r="E184" i="12"/>
  <c r="F185" i="12"/>
  <c r="E185" i="12"/>
  <c r="F186" i="12"/>
  <c r="E186" i="12"/>
  <c r="F187" i="12"/>
  <c r="E187" i="12"/>
  <c r="F188" i="12"/>
  <c r="E188" i="12"/>
  <c r="F189" i="12"/>
  <c r="E189" i="12"/>
  <c r="F190" i="12"/>
  <c r="E190" i="12"/>
  <c r="F191" i="12"/>
  <c r="E191" i="12"/>
  <c r="F192" i="12"/>
  <c r="E192" i="12"/>
  <c r="F193" i="12"/>
  <c r="E193" i="12"/>
  <c r="F194" i="12"/>
  <c r="E194" i="12"/>
  <c r="F195" i="12"/>
  <c r="E195" i="12"/>
  <c r="F196" i="12"/>
  <c r="E196" i="12"/>
  <c r="F197" i="12"/>
  <c r="E197" i="12"/>
  <c r="F198" i="12"/>
  <c r="E198" i="12"/>
  <c r="F199" i="12"/>
  <c r="E199" i="12"/>
  <c r="F200" i="12"/>
  <c r="E200" i="12"/>
  <c r="F201" i="12"/>
  <c r="E201" i="12"/>
  <c r="F202" i="12"/>
  <c r="E202" i="12"/>
  <c r="F203" i="12"/>
  <c r="E203" i="12"/>
  <c r="F204" i="12"/>
  <c r="E204" i="12"/>
  <c r="F205" i="12"/>
  <c r="E205" i="12"/>
  <c r="F206" i="12"/>
  <c r="E206" i="12"/>
  <c r="F207" i="12"/>
  <c r="E207" i="12"/>
  <c r="F208" i="12"/>
  <c r="E208" i="12"/>
  <c r="F209" i="12"/>
  <c r="E209" i="12"/>
  <c r="F210" i="12"/>
  <c r="E210" i="12"/>
  <c r="F211" i="12"/>
  <c r="E211" i="12"/>
  <c r="F212" i="12"/>
  <c r="E212" i="12"/>
  <c r="F213" i="12"/>
  <c r="E213" i="12"/>
  <c r="F214" i="12"/>
  <c r="E214" i="12"/>
  <c r="F215" i="12"/>
  <c r="E215" i="12"/>
  <c r="F216" i="12"/>
  <c r="E216" i="12"/>
  <c r="F217" i="12"/>
  <c r="E217" i="12"/>
  <c r="F218" i="12"/>
  <c r="E218" i="12"/>
  <c r="F219" i="12"/>
  <c r="E219" i="12"/>
  <c r="F220" i="12"/>
  <c r="E220" i="12"/>
  <c r="F221" i="12"/>
  <c r="E221" i="12"/>
  <c r="F222" i="12"/>
  <c r="E222" i="12"/>
  <c r="F223" i="12"/>
  <c r="E223" i="12"/>
  <c r="F224" i="12"/>
  <c r="E224" i="12"/>
  <c r="F225" i="12"/>
  <c r="E225" i="12"/>
  <c r="F226" i="12"/>
  <c r="E226" i="12"/>
  <c r="F227" i="12"/>
  <c r="E227" i="12"/>
  <c r="F228" i="12"/>
  <c r="E228" i="12"/>
  <c r="F229" i="12"/>
  <c r="E229" i="12"/>
  <c r="F230" i="12"/>
  <c r="E230" i="12"/>
  <c r="F231" i="12"/>
  <c r="E231" i="12"/>
  <c r="F232" i="12"/>
  <c r="E232" i="12"/>
  <c r="F233" i="12"/>
  <c r="E233" i="12"/>
  <c r="F234" i="12"/>
  <c r="E234" i="12"/>
  <c r="F235" i="12"/>
  <c r="E235" i="12"/>
  <c r="F236" i="12"/>
  <c r="E236" i="12"/>
  <c r="F237" i="12"/>
  <c r="E237" i="12"/>
  <c r="F238" i="12"/>
  <c r="E238" i="12"/>
  <c r="F239" i="12"/>
  <c r="E239" i="12"/>
  <c r="F240" i="12"/>
  <c r="E240" i="12"/>
  <c r="F241" i="12"/>
  <c r="E241" i="12"/>
  <c r="F242" i="12"/>
  <c r="E242" i="12"/>
  <c r="F243" i="12"/>
  <c r="E243" i="12"/>
  <c r="F244" i="12"/>
  <c r="E244" i="12"/>
  <c r="F245" i="12"/>
  <c r="E245" i="12"/>
  <c r="F246" i="12"/>
  <c r="E246" i="12"/>
  <c r="F247" i="12"/>
  <c r="E247" i="12"/>
  <c r="F248" i="12"/>
  <c r="E248" i="12"/>
  <c r="F249" i="12"/>
  <c r="E249" i="12"/>
  <c r="F250" i="12"/>
  <c r="E250" i="12"/>
  <c r="F251" i="12"/>
  <c r="E251" i="12"/>
  <c r="F252" i="12"/>
  <c r="E252" i="12"/>
  <c r="F253" i="12"/>
  <c r="E253" i="12"/>
  <c r="F254" i="12"/>
  <c r="E254" i="12"/>
  <c r="F255" i="12"/>
  <c r="E255" i="12"/>
  <c r="F256" i="12"/>
  <c r="E256" i="12"/>
  <c r="F257" i="12"/>
  <c r="E257" i="12"/>
  <c r="F258" i="12"/>
  <c r="E258" i="12"/>
  <c r="F259" i="12"/>
  <c r="E259" i="12"/>
  <c r="F260" i="12"/>
  <c r="E260" i="12"/>
  <c r="F261" i="12"/>
  <c r="E261" i="12"/>
  <c r="F262" i="12"/>
  <c r="E262" i="12"/>
  <c r="F263" i="12"/>
  <c r="E263" i="12"/>
  <c r="F264" i="12"/>
  <c r="E264" i="12"/>
  <c r="F265" i="12"/>
  <c r="E265" i="12"/>
  <c r="F266" i="12"/>
  <c r="E266" i="12"/>
  <c r="F267" i="12"/>
  <c r="E267" i="12"/>
  <c r="F268" i="12"/>
  <c r="E268" i="12"/>
  <c r="F269" i="12"/>
  <c r="E269" i="12"/>
  <c r="F270" i="12"/>
  <c r="E270" i="12"/>
  <c r="F271" i="12"/>
  <c r="E271" i="12"/>
  <c r="F272" i="12"/>
  <c r="E272" i="12"/>
  <c r="F273" i="12"/>
  <c r="E273" i="12"/>
  <c r="F274" i="12"/>
  <c r="E274" i="12"/>
  <c r="F275" i="12"/>
  <c r="E275" i="12"/>
  <c r="F276" i="12"/>
  <c r="E276" i="12"/>
  <c r="F277" i="12"/>
  <c r="E277" i="12"/>
  <c r="F278" i="12"/>
  <c r="E278" i="12"/>
  <c r="F279" i="12"/>
  <c r="E279" i="12"/>
  <c r="F280" i="12"/>
  <c r="E280" i="12"/>
  <c r="F281" i="12"/>
  <c r="E281" i="12"/>
  <c r="F282" i="12"/>
  <c r="E282" i="12"/>
  <c r="F283" i="12"/>
  <c r="E283" i="12"/>
  <c r="F284" i="12"/>
  <c r="E284" i="12"/>
  <c r="F285" i="12"/>
  <c r="E285" i="12"/>
  <c r="F286" i="12"/>
  <c r="E286" i="12"/>
  <c r="F287" i="12"/>
  <c r="E287" i="12"/>
  <c r="F288" i="12"/>
  <c r="E288" i="12"/>
  <c r="F289" i="12"/>
  <c r="E289" i="12"/>
  <c r="F290" i="12"/>
  <c r="E290" i="12"/>
  <c r="F291" i="12"/>
  <c r="E291" i="12"/>
  <c r="F292" i="12"/>
  <c r="E292" i="12"/>
  <c r="F293" i="12"/>
  <c r="E293" i="12"/>
  <c r="F294" i="12"/>
  <c r="E294" i="12"/>
  <c r="F295" i="12"/>
  <c r="E295" i="12"/>
  <c r="F296" i="12"/>
  <c r="E296" i="12"/>
  <c r="F297" i="12"/>
  <c r="E297" i="12"/>
  <c r="F298" i="12"/>
  <c r="E298" i="12"/>
  <c r="F299" i="12"/>
  <c r="E299" i="12"/>
  <c r="F300" i="12"/>
  <c r="E300" i="12"/>
  <c r="F301" i="12"/>
  <c r="E301" i="12"/>
  <c r="F302" i="12"/>
  <c r="E302" i="12"/>
  <c r="F303" i="12"/>
  <c r="E303" i="12"/>
  <c r="F304" i="12"/>
  <c r="E304" i="12"/>
  <c r="F305" i="12"/>
  <c r="E305" i="12"/>
  <c r="F306" i="12"/>
  <c r="E306" i="12"/>
  <c r="F307" i="12"/>
  <c r="E307" i="12"/>
  <c r="F308" i="12"/>
  <c r="E308" i="12"/>
  <c r="F309" i="12"/>
  <c r="E309" i="12"/>
  <c r="F310" i="12"/>
  <c r="E310" i="12"/>
  <c r="F311" i="12"/>
  <c r="E311" i="12"/>
  <c r="F312" i="12"/>
  <c r="E312" i="12"/>
  <c r="F313" i="12"/>
  <c r="E313" i="12"/>
  <c r="F314" i="12"/>
  <c r="E314" i="12"/>
  <c r="F315" i="12"/>
  <c r="E315" i="12"/>
  <c r="F316" i="12"/>
  <c r="E316" i="12"/>
  <c r="F317" i="12"/>
  <c r="E317" i="12"/>
  <c r="F318" i="12"/>
  <c r="E318" i="12"/>
  <c r="F319" i="12"/>
  <c r="E319" i="12"/>
  <c r="F320" i="12"/>
  <c r="E320" i="12"/>
  <c r="F321" i="12"/>
  <c r="E321" i="12"/>
  <c r="F322" i="12"/>
  <c r="E322" i="12"/>
  <c r="F323" i="12"/>
  <c r="E323" i="12"/>
  <c r="F324" i="12"/>
  <c r="E324" i="12"/>
  <c r="F325" i="12"/>
  <c r="E325" i="12"/>
  <c r="F326" i="12"/>
  <c r="E326" i="12"/>
  <c r="F327" i="12"/>
  <c r="E327" i="12"/>
  <c r="F328" i="12"/>
  <c r="E328" i="12"/>
  <c r="F329" i="12"/>
  <c r="E329" i="12"/>
  <c r="F330" i="12"/>
  <c r="E330" i="12"/>
  <c r="F331" i="12"/>
  <c r="E331" i="12"/>
  <c r="F332" i="12"/>
  <c r="E332" i="12"/>
  <c r="F333" i="12"/>
  <c r="E333" i="12"/>
  <c r="F334" i="12"/>
  <c r="E334" i="12"/>
  <c r="F335" i="12"/>
  <c r="E335" i="12"/>
  <c r="F336" i="12"/>
  <c r="E336" i="12"/>
  <c r="F337" i="12"/>
  <c r="E337" i="12"/>
  <c r="F338" i="12"/>
  <c r="E338" i="12"/>
  <c r="F339" i="12"/>
  <c r="E339" i="12"/>
  <c r="F340" i="12"/>
  <c r="E340" i="12"/>
  <c r="F341" i="12"/>
  <c r="E341" i="12"/>
  <c r="F342" i="12"/>
  <c r="E342" i="12"/>
  <c r="F343" i="12"/>
  <c r="E343" i="12"/>
  <c r="F344" i="12"/>
  <c r="E344" i="12"/>
  <c r="F345" i="12"/>
  <c r="E345" i="12"/>
  <c r="F346" i="12"/>
  <c r="E346" i="12"/>
  <c r="F347" i="12"/>
  <c r="E347" i="12"/>
  <c r="F348" i="12"/>
  <c r="E348" i="12"/>
  <c r="F349" i="12"/>
  <c r="E349" i="12"/>
  <c r="F350" i="12"/>
  <c r="E350" i="12"/>
  <c r="F351" i="12"/>
  <c r="E351" i="12"/>
  <c r="F352" i="12"/>
  <c r="E352" i="12"/>
  <c r="F353" i="12"/>
  <c r="E353" i="12"/>
  <c r="F354" i="12"/>
  <c r="E354" i="12"/>
  <c r="F355" i="12"/>
  <c r="E355" i="12"/>
  <c r="F356" i="12"/>
  <c r="E356" i="12"/>
  <c r="F357" i="12"/>
  <c r="E357" i="12"/>
  <c r="F358" i="12"/>
  <c r="E358" i="12"/>
  <c r="F359" i="12"/>
  <c r="E359" i="12"/>
  <c r="F360" i="12"/>
  <c r="E360" i="12"/>
  <c r="F361" i="12"/>
  <c r="E361" i="12"/>
  <c r="F362" i="12"/>
  <c r="E362" i="12"/>
  <c r="F363" i="12"/>
  <c r="E363" i="12"/>
  <c r="F364" i="12"/>
  <c r="E364" i="12"/>
  <c r="F365" i="12"/>
  <c r="E365" i="12"/>
  <c r="F366" i="12"/>
  <c r="E366" i="12"/>
  <c r="F367" i="12"/>
  <c r="E367" i="12"/>
  <c r="F368" i="12"/>
  <c r="E368" i="12"/>
  <c r="F369" i="12"/>
  <c r="E369" i="12"/>
  <c r="F370" i="12"/>
  <c r="E370" i="12"/>
  <c r="F371" i="12"/>
  <c r="E371" i="12"/>
  <c r="F372" i="12"/>
  <c r="E372" i="12"/>
  <c r="F373" i="12"/>
  <c r="E373" i="12"/>
  <c r="F374" i="12"/>
  <c r="E374" i="12"/>
  <c r="F375" i="12"/>
  <c r="E375" i="12"/>
  <c r="F376" i="12"/>
  <c r="E376" i="12"/>
  <c r="F377" i="12"/>
  <c r="E377" i="12"/>
  <c r="F378" i="12"/>
  <c r="E378" i="12"/>
  <c r="F379" i="12"/>
  <c r="E379" i="12"/>
  <c r="F380" i="12"/>
  <c r="E380" i="12"/>
  <c r="F381" i="12"/>
  <c r="E381" i="12"/>
  <c r="F382" i="12"/>
  <c r="E382" i="12"/>
  <c r="F383" i="12"/>
  <c r="E383" i="12"/>
  <c r="F384" i="12"/>
  <c r="E384" i="12"/>
  <c r="F385" i="12"/>
  <c r="E385" i="12"/>
  <c r="F386" i="12"/>
  <c r="E386" i="12"/>
  <c r="F387" i="12"/>
  <c r="E387" i="12"/>
  <c r="F388" i="12"/>
  <c r="E388" i="12"/>
  <c r="F389" i="12"/>
  <c r="E389" i="12"/>
  <c r="F390" i="12"/>
  <c r="E390" i="12"/>
  <c r="F391" i="12"/>
  <c r="E391" i="12"/>
  <c r="F392" i="12"/>
  <c r="E392" i="12"/>
  <c r="F393" i="12"/>
  <c r="E393" i="12"/>
  <c r="F394" i="12"/>
  <c r="E394" i="12"/>
  <c r="F395" i="12"/>
  <c r="E395" i="12"/>
  <c r="F396" i="12"/>
  <c r="E396" i="12"/>
  <c r="F397" i="12"/>
  <c r="E397" i="12"/>
  <c r="F398" i="12"/>
  <c r="E398" i="12"/>
  <c r="F399" i="12"/>
  <c r="E399" i="12"/>
  <c r="F400" i="12"/>
  <c r="E400" i="12"/>
  <c r="F401" i="12"/>
  <c r="E401" i="12"/>
  <c r="F402" i="12"/>
  <c r="E402" i="12"/>
  <c r="F403" i="12"/>
  <c r="E403" i="12"/>
  <c r="F404" i="12"/>
  <c r="E404" i="12"/>
  <c r="F405" i="12"/>
  <c r="E405" i="12"/>
  <c r="F406" i="12"/>
  <c r="E406" i="12"/>
  <c r="F407" i="12"/>
  <c r="E407" i="12"/>
  <c r="F408" i="12"/>
  <c r="E408" i="12"/>
  <c r="F409" i="12"/>
  <c r="E409" i="12"/>
  <c r="F410" i="12"/>
  <c r="E410" i="12"/>
  <c r="F411" i="12"/>
  <c r="E411" i="12"/>
  <c r="F412" i="12"/>
  <c r="E412" i="12"/>
  <c r="F413" i="12"/>
  <c r="E413" i="12"/>
  <c r="F414" i="12"/>
  <c r="E414" i="12"/>
  <c r="F415" i="12"/>
  <c r="E415" i="12"/>
  <c r="F416" i="12"/>
  <c r="E416" i="12"/>
  <c r="F417" i="12"/>
  <c r="E417" i="12"/>
  <c r="F418" i="12"/>
  <c r="E418" i="12"/>
  <c r="F419" i="12"/>
  <c r="E419" i="12"/>
  <c r="F420" i="12"/>
  <c r="E420" i="12"/>
  <c r="F421" i="12"/>
  <c r="E421" i="12"/>
  <c r="F422" i="12"/>
  <c r="E422" i="12"/>
  <c r="F423" i="12"/>
  <c r="E423" i="12"/>
  <c r="F424" i="12"/>
  <c r="E424" i="12"/>
  <c r="F425" i="12"/>
  <c r="E425" i="12"/>
  <c r="F426" i="12"/>
  <c r="E426" i="12"/>
  <c r="F427" i="12"/>
  <c r="E427" i="12"/>
  <c r="F428" i="12"/>
  <c r="E428" i="12"/>
  <c r="F429" i="12"/>
  <c r="E429" i="12"/>
  <c r="F430" i="12"/>
  <c r="E430" i="12"/>
  <c r="F431" i="12"/>
  <c r="E431" i="12"/>
  <c r="F432" i="12"/>
  <c r="E432" i="12"/>
  <c r="F433" i="12"/>
  <c r="E433" i="12"/>
  <c r="F434" i="12"/>
  <c r="E434" i="12"/>
  <c r="F435" i="12"/>
  <c r="E435" i="12"/>
  <c r="F436" i="12"/>
  <c r="E436" i="12"/>
  <c r="F437" i="12"/>
  <c r="E437" i="12"/>
  <c r="F438" i="12"/>
  <c r="E438" i="12"/>
  <c r="F439" i="12"/>
  <c r="E439" i="12"/>
  <c r="F440" i="12"/>
  <c r="E440" i="12"/>
  <c r="F441" i="12"/>
  <c r="E441" i="12"/>
  <c r="F442" i="12"/>
  <c r="E442" i="12"/>
  <c r="F443" i="12"/>
  <c r="E443" i="12"/>
  <c r="F444" i="12"/>
  <c r="E444" i="12"/>
  <c r="F445" i="12"/>
  <c r="E445" i="12"/>
  <c r="F446" i="12"/>
  <c r="E446" i="12"/>
  <c r="F447" i="12"/>
  <c r="E447" i="12"/>
  <c r="F448" i="12"/>
  <c r="E448" i="12"/>
  <c r="F449" i="12"/>
  <c r="E449" i="12"/>
  <c r="F450" i="12"/>
  <c r="E450" i="12"/>
  <c r="F451" i="12"/>
  <c r="E451" i="12"/>
  <c r="F452" i="12"/>
  <c r="E452" i="12"/>
  <c r="F453" i="12"/>
  <c r="E453" i="12"/>
  <c r="F454" i="12"/>
  <c r="E454" i="12"/>
  <c r="F455" i="12"/>
  <c r="E455" i="12"/>
  <c r="F456" i="12"/>
  <c r="E456" i="12"/>
  <c r="F457" i="12"/>
  <c r="E457" i="12"/>
  <c r="F458" i="12"/>
  <c r="E458" i="12"/>
  <c r="F459" i="12"/>
  <c r="E459" i="12"/>
  <c r="F460" i="12"/>
  <c r="E460" i="12"/>
  <c r="F461" i="12"/>
  <c r="E461" i="12"/>
  <c r="F462" i="12"/>
  <c r="E462" i="12"/>
  <c r="F463" i="12"/>
  <c r="E463" i="12"/>
  <c r="F464" i="12"/>
  <c r="E464" i="12"/>
  <c r="F465" i="12"/>
  <c r="E465" i="12"/>
  <c r="F466" i="12"/>
  <c r="E466" i="12"/>
  <c r="F467" i="12"/>
  <c r="E467" i="12"/>
  <c r="F468" i="12"/>
  <c r="E468" i="12"/>
  <c r="F469" i="12"/>
  <c r="E469" i="12"/>
  <c r="F470" i="12"/>
  <c r="E470" i="12"/>
  <c r="F471" i="12"/>
  <c r="E471" i="12"/>
  <c r="F472" i="12"/>
  <c r="E472" i="12"/>
  <c r="F473" i="12"/>
  <c r="E473" i="12"/>
  <c r="F474" i="12"/>
  <c r="E474" i="12"/>
  <c r="F475" i="12"/>
  <c r="E475" i="12"/>
  <c r="F476" i="12"/>
  <c r="E476" i="12"/>
  <c r="F477" i="12"/>
  <c r="E477" i="12"/>
  <c r="F478" i="12"/>
  <c r="E478" i="12"/>
  <c r="F479" i="12"/>
  <c r="E479" i="12"/>
  <c r="F480" i="12"/>
  <c r="E480" i="12"/>
  <c r="F481" i="12"/>
  <c r="E481" i="12"/>
  <c r="F482" i="12"/>
  <c r="E482" i="12"/>
  <c r="F483" i="12"/>
  <c r="E483" i="12"/>
  <c r="F484" i="12"/>
  <c r="E484" i="12"/>
  <c r="F485" i="12"/>
  <c r="E485" i="12"/>
  <c r="F486" i="12"/>
  <c r="E486" i="12"/>
  <c r="F487" i="12"/>
  <c r="E487" i="12"/>
  <c r="F488" i="12"/>
  <c r="E488" i="12"/>
  <c r="F489" i="12"/>
  <c r="E489" i="12"/>
  <c r="F490" i="12"/>
  <c r="E490" i="12"/>
  <c r="F491" i="12"/>
  <c r="E491" i="12"/>
  <c r="F492" i="12"/>
  <c r="E492" i="12"/>
  <c r="F493" i="12"/>
  <c r="E493" i="12"/>
  <c r="F494" i="12"/>
  <c r="E494" i="12"/>
  <c r="F495" i="12"/>
  <c r="E495" i="12"/>
  <c r="F496" i="12"/>
  <c r="E496" i="12"/>
  <c r="F497" i="12"/>
  <c r="E497" i="12"/>
  <c r="F498" i="12"/>
  <c r="E498" i="12"/>
  <c r="F499" i="12"/>
  <c r="E499" i="12"/>
  <c r="F500" i="12"/>
  <c r="E500" i="12"/>
  <c r="F501" i="12"/>
  <c r="E501" i="12"/>
  <c r="F502" i="12"/>
  <c r="E502" i="12"/>
  <c r="F503" i="12"/>
  <c r="E503" i="12"/>
  <c r="F504" i="12"/>
  <c r="E504" i="12"/>
  <c r="F505" i="12"/>
  <c r="E505" i="12"/>
  <c r="F506" i="12"/>
  <c r="E506" i="12"/>
  <c r="H507" i="12"/>
  <c r="G507" i="12"/>
  <c r="F507" i="12"/>
  <c r="E507" i="12"/>
  <c r="B7" i="8"/>
  <c r="L6" i="11"/>
  <c r="L5" i="11"/>
  <c r="H253" i="11"/>
  <c r="H252" i="11"/>
  <c r="H251" i="11"/>
  <c r="H250" i="11"/>
  <c r="H249" i="11"/>
  <c r="H248" i="11"/>
  <c r="H247" i="11"/>
  <c r="H246" i="11"/>
  <c r="H245" i="11"/>
  <c r="H244" i="11"/>
  <c r="H243" i="11"/>
  <c r="H242" i="11"/>
  <c r="H241" i="11"/>
  <c r="H240" i="11"/>
  <c r="H239" i="11"/>
  <c r="H238" i="11"/>
  <c r="H237" i="11"/>
  <c r="H236" i="11"/>
  <c r="H235" i="11"/>
  <c r="H234" i="11"/>
  <c r="H233" i="11"/>
  <c r="H232" i="11"/>
  <c r="H231" i="11"/>
  <c r="H230" i="11"/>
  <c r="H229" i="11"/>
  <c r="H228" i="11"/>
  <c r="H227" i="11"/>
  <c r="H226" i="11"/>
  <c r="H225" i="11"/>
  <c r="H224" i="11"/>
  <c r="H223" i="11"/>
  <c r="H222" i="11"/>
  <c r="H221" i="11"/>
  <c r="H220" i="11"/>
  <c r="H219" i="11"/>
  <c r="H218" i="11"/>
  <c r="H217" i="11"/>
  <c r="H216" i="11"/>
  <c r="H215" i="11"/>
  <c r="H214" i="11"/>
  <c r="H213" i="11"/>
  <c r="H212" i="11"/>
  <c r="H211" i="11"/>
  <c r="H210" i="11"/>
  <c r="H209" i="11"/>
  <c r="H208" i="11"/>
  <c r="H207" i="11"/>
  <c r="H206" i="11"/>
  <c r="H205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  <c r="H3" i="11"/>
  <c r="H2" i="11"/>
  <c r="C2" i="10" l="1"/>
  <c r="E3" i="10" l="1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E2" i="10"/>
  <c r="D2" i="10"/>
  <c r="G2" i="10"/>
  <c r="F2" i="10"/>
  <c r="L4" i="11"/>
  <c r="C507" i="10" l="1"/>
  <c r="H507" i="10" s="1"/>
  <c r="C506" i="10"/>
  <c r="H506" i="10" s="1"/>
  <c r="C505" i="10"/>
  <c r="C504" i="10"/>
  <c r="H504" i="10" s="1"/>
  <c r="C503" i="10"/>
  <c r="C502" i="10"/>
  <c r="C501" i="10"/>
  <c r="C500" i="10"/>
  <c r="H500" i="10" s="1"/>
  <c r="C499" i="10"/>
  <c r="C498" i="10"/>
  <c r="H498" i="10" s="1"/>
  <c r="C497" i="10"/>
  <c r="H496" i="10" s="1"/>
  <c r="C496" i="10"/>
  <c r="C495" i="10"/>
  <c r="C494" i="10"/>
  <c r="H494" i="10" s="1"/>
  <c r="C493" i="10"/>
  <c r="C492" i="10"/>
  <c r="H492" i="10" s="1"/>
  <c r="C491" i="10"/>
  <c r="H491" i="10" s="1"/>
  <c r="C490" i="10"/>
  <c r="C489" i="10"/>
  <c r="C488" i="10"/>
  <c r="H488" i="10" s="1"/>
  <c r="C487" i="10"/>
  <c r="H487" i="10" s="1"/>
  <c r="C486" i="10"/>
  <c r="C485" i="10"/>
  <c r="H485" i="10" s="1"/>
  <c r="H484" i="10"/>
  <c r="C484" i="10"/>
  <c r="C483" i="10"/>
  <c r="C482" i="10"/>
  <c r="C481" i="10"/>
  <c r="H480" i="10"/>
  <c r="C480" i="10"/>
  <c r="C479" i="10"/>
  <c r="H479" i="10" s="1"/>
  <c r="C478" i="10"/>
  <c r="H478" i="10" s="1"/>
  <c r="C477" i="10"/>
  <c r="H476" i="10" s="1"/>
  <c r="C476" i="10"/>
  <c r="C475" i="10"/>
  <c r="H475" i="10" s="1"/>
  <c r="C474" i="10"/>
  <c r="H474" i="10" s="1"/>
  <c r="C473" i="10"/>
  <c r="C472" i="10"/>
  <c r="H472" i="10" s="1"/>
  <c r="C471" i="10"/>
  <c r="C470" i="10"/>
  <c r="C469" i="10"/>
  <c r="C468" i="10"/>
  <c r="H468" i="10" s="1"/>
  <c r="C467" i="10"/>
  <c r="C466" i="10"/>
  <c r="H466" i="10" s="1"/>
  <c r="C465" i="10"/>
  <c r="H464" i="10" s="1"/>
  <c r="C464" i="10"/>
  <c r="C463" i="10"/>
  <c r="C462" i="10"/>
  <c r="H462" i="10" s="1"/>
  <c r="C461" i="10"/>
  <c r="C460" i="10"/>
  <c r="H460" i="10" s="1"/>
  <c r="C459" i="10"/>
  <c r="H459" i="10" s="1"/>
  <c r="C458" i="10"/>
  <c r="C457" i="10"/>
  <c r="C456" i="10"/>
  <c r="H456" i="10" s="1"/>
  <c r="C455" i="10"/>
  <c r="H455" i="10" s="1"/>
  <c r="C454" i="10"/>
  <c r="C453" i="10"/>
  <c r="H453" i="10" s="1"/>
  <c r="H452" i="10"/>
  <c r="C452" i="10"/>
  <c r="C451" i="10"/>
  <c r="C450" i="10"/>
  <c r="C449" i="10"/>
  <c r="H448" i="10"/>
  <c r="C448" i="10"/>
  <c r="C447" i="10"/>
  <c r="H447" i="10" s="1"/>
  <c r="C446" i="10"/>
  <c r="H446" i="10" s="1"/>
  <c r="C445" i="10"/>
  <c r="H444" i="10" s="1"/>
  <c r="C444" i="10"/>
  <c r="C443" i="10"/>
  <c r="H443" i="10" s="1"/>
  <c r="C442" i="10"/>
  <c r="H442" i="10" s="1"/>
  <c r="C441" i="10"/>
  <c r="C440" i="10"/>
  <c r="H440" i="10" s="1"/>
  <c r="C439" i="10"/>
  <c r="C438" i="10"/>
  <c r="C437" i="10"/>
  <c r="C436" i="10"/>
  <c r="H436" i="10" s="1"/>
  <c r="C435" i="10"/>
  <c r="C434" i="10"/>
  <c r="H434" i="10" s="1"/>
  <c r="C433" i="10"/>
  <c r="H432" i="10" s="1"/>
  <c r="C432" i="10"/>
  <c r="C431" i="10"/>
  <c r="C430" i="10"/>
  <c r="H430" i="10" s="1"/>
  <c r="C429" i="10"/>
  <c r="C428" i="10"/>
  <c r="H428" i="10" s="1"/>
  <c r="C427" i="10"/>
  <c r="H427" i="10" s="1"/>
  <c r="C426" i="10"/>
  <c r="C425" i="10"/>
  <c r="C424" i="10"/>
  <c r="H424" i="10" s="1"/>
  <c r="C423" i="10"/>
  <c r="H423" i="10" s="1"/>
  <c r="C422" i="10"/>
  <c r="C421" i="10"/>
  <c r="H421" i="10" s="1"/>
  <c r="H420" i="10"/>
  <c r="C420" i="10"/>
  <c r="C419" i="10"/>
  <c r="C418" i="10"/>
  <c r="C417" i="10"/>
  <c r="H416" i="10"/>
  <c r="C416" i="10"/>
  <c r="C415" i="10"/>
  <c r="H415" i="10" s="1"/>
  <c r="C414" i="10"/>
  <c r="H414" i="10" s="1"/>
  <c r="C413" i="10"/>
  <c r="H412" i="10" s="1"/>
  <c r="C412" i="10"/>
  <c r="C411" i="10"/>
  <c r="H411" i="10" s="1"/>
  <c r="C410" i="10"/>
  <c r="H410" i="10" s="1"/>
  <c r="C409" i="10"/>
  <c r="C408" i="10"/>
  <c r="H408" i="10" s="1"/>
  <c r="C407" i="10"/>
  <c r="C406" i="10"/>
  <c r="C405" i="10"/>
  <c r="C404" i="10"/>
  <c r="H404" i="10" s="1"/>
  <c r="C403" i="10"/>
  <c r="C402" i="10"/>
  <c r="H402" i="10" s="1"/>
  <c r="C401" i="10"/>
  <c r="H400" i="10" s="1"/>
  <c r="C400" i="10"/>
  <c r="C399" i="10"/>
  <c r="C398" i="10"/>
  <c r="H398" i="10" s="1"/>
  <c r="C397" i="10"/>
  <c r="C396" i="10"/>
  <c r="H396" i="10" s="1"/>
  <c r="C395" i="10"/>
  <c r="H395" i="10" s="1"/>
  <c r="C394" i="10"/>
  <c r="C393" i="10"/>
  <c r="C392" i="10"/>
  <c r="H392" i="10" s="1"/>
  <c r="C391" i="10"/>
  <c r="H391" i="10" s="1"/>
  <c r="C390" i="10"/>
  <c r="C389" i="10"/>
  <c r="H389" i="10" s="1"/>
  <c r="H388" i="10"/>
  <c r="C388" i="10"/>
  <c r="C387" i="10"/>
  <c r="C386" i="10"/>
  <c r="C385" i="10"/>
  <c r="H384" i="10"/>
  <c r="C384" i="10"/>
  <c r="C383" i="10"/>
  <c r="H383" i="10" s="1"/>
  <c r="C382" i="10"/>
  <c r="H382" i="10" s="1"/>
  <c r="C381" i="10"/>
  <c r="H380" i="10" s="1"/>
  <c r="C380" i="10"/>
  <c r="C379" i="10"/>
  <c r="H379" i="10" s="1"/>
  <c r="C378" i="10"/>
  <c r="C377" i="10"/>
  <c r="C376" i="10"/>
  <c r="H376" i="10" s="1"/>
  <c r="C375" i="10"/>
  <c r="C374" i="10"/>
  <c r="C373" i="10"/>
  <c r="C372" i="10"/>
  <c r="C371" i="10"/>
  <c r="H371" i="10" s="1"/>
  <c r="C370" i="10"/>
  <c r="C369" i="10"/>
  <c r="H368" i="10"/>
  <c r="C368" i="10"/>
  <c r="C367" i="10"/>
  <c r="C366" i="10"/>
  <c r="C365" i="10"/>
  <c r="C364" i="10"/>
  <c r="H364" i="10" s="1"/>
  <c r="C363" i="10"/>
  <c r="C362" i="10"/>
  <c r="H362" i="10" s="1"/>
  <c r="C361" i="10"/>
  <c r="H360" i="10" s="1"/>
  <c r="C360" i="10"/>
  <c r="C359" i="10"/>
  <c r="C358" i="10"/>
  <c r="H358" i="10" s="1"/>
  <c r="C357" i="10"/>
  <c r="H357" i="10" s="1"/>
  <c r="C356" i="10"/>
  <c r="C355" i="10"/>
  <c r="C354" i="10"/>
  <c r="H354" i="10" s="1"/>
  <c r="C353" i="10"/>
  <c r="C352" i="10"/>
  <c r="C351" i="10"/>
  <c r="C350" i="10"/>
  <c r="C349" i="10"/>
  <c r="H349" i="10" s="1"/>
  <c r="C348" i="10"/>
  <c r="C347" i="10"/>
  <c r="C346" i="10"/>
  <c r="C345" i="10"/>
  <c r="H344" i="10" s="1"/>
  <c r="C344" i="10"/>
  <c r="C343" i="10"/>
  <c r="H343" i="10" s="1"/>
  <c r="C342" i="10"/>
  <c r="C341" i="10"/>
  <c r="C340" i="10"/>
  <c r="C339" i="10"/>
  <c r="H339" i="10" s="1"/>
  <c r="C338" i="10"/>
  <c r="C337" i="10"/>
  <c r="C336" i="10"/>
  <c r="H336" i="10" s="1"/>
  <c r="C335" i="10"/>
  <c r="H335" i="10" s="1"/>
  <c r="C334" i="10"/>
  <c r="C333" i="10"/>
  <c r="C332" i="10"/>
  <c r="H332" i="10" s="1"/>
  <c r="C331" i="10"/>
  <c r="C330" i="10"/>
  <c r="C329" i="10"/>
  <c r="C328" i="10"/>
  <c r="H328" i="10" s="1"/>
  <c r="C327" i="10"/>
  <c r="C326" i="10"/>
  <c r="H326" i="10" s="1"/>
  <c r="C325" i="10"/>
  <c r="H325" i="10" s="1"/>
  <c r="C324" i="10"/>
  <c r="C323" i="10"/>
  <c r="C322" i="10"/>
  <c r="C321" i="10"/>
  <c r="C320" i="10"/>
  <c r="H320" i="10" s="1"/>
  <c r="C319" i="10"/>
  <c r="C318" i="10"/>
  <c r="C317" i="10"/>
  <c r="H317" i="10" s="1"/>
  <c r="C316" i="10"/>
  <c r="C315" i="10"/>
  <c r="C314" i="10"/>
  <c r="C313" i="10"/>
  <c r="H313" i="10" s="1"/>
  <c r="H312" i="10"/>
  <c r="C312" i="10"/>
  <c r="C311" i="10"/>
  <c r="H311" i="10" s="1"/>
  <c r="C310" i="10"/>
  <c r="C309" i="10"/>
  <c r="C308" i="10"/>
  <c r="C307" i="10"/>
  <c r="C306" i="10"/>
  <c r="H306" i="10" s="1"/>
  <c r="C305" i="10"/>
  <c r="C304" i="10"/>
  <c r="H304" i="10" s="1"/>
  <c r="C303" i="10"/>
  <c r="H303" i="10" s="1"/>
  <c r="C302" i="10"/>
  <c r="C301" i="10"/>
  <c r="C300" i="10"/>
  <c r="C299" i="10"/>
  <c r="C298" i="10"/>
  <c r="H298" i="10" s="1"/>
  <c r="C297" i="10"/>
  <c r="C296" i="10"/>
  <c r="H296" i="10" s="1"/>
  <c r="C295" i="10"/>
  <c r="C294" i="10"/>
  <c r="C293" i="10"/>
  <c r="C292" i="10"/>
  <c r="H292" i="10" s="1"/>
  <c r="C291" i="10"/>
  <c r="C290" i="10"/>
  <c r="C289" i="10"/>
  <c r="C288" i="10"/>
  <c r="H288" i="10" s="1"/>
  <c r="C287" i="10"/>
  <c r="C286" i="10"/>
  <c r="C285" i="10"/>
  <c r="C284" i="10"/>
  <c r="H284" i="10" s="1"/>
  <c r="C283" i="10"/>
  <c r="C282" i="10"/>
  <c r="C281" i="10"/>
  <c r="H281" i="10" s="1"/>
  <c r="H280" i="10"/>
  <c r="C280" i="10"/>
  <c r="C279" i="10"/>
  <c r="C278" i="10"/>
  <c r="C277" i="10"/>
  <c r="H277" i="10" s="1"/>
  <c r="C276" i="10"/>
  <c r="H276" i="10" s="1"/>
  <c r="C275" i="10"/>
  <c r="C274" i="10"/>
  <c r="H274" i="10" s="1"/>
  <c r="C273" i="10"/>
  <c r="H272" i="10" s="1"/>
  <c r="C272" i="10"/>
  <c r="C271" i="10"/>
  <c r="C270" i="10"/>
  <c r="C269" i="10"/>
  <c r="H269" i="10" s="1"/>
  <c r="C268" i="10"/>
  <c r="C267" i="10"/>
  <c r="C266" i="10"/>
  <c r="H266" i="10" s="1"/>
  <c r="C265" i="10"/>
  <c r="H264" i="10" s="1"/>
  <c r="C264" i="10"/>
  <c r="C263" i="10"/>
  <c r="H263" i="10" s="1"/>
  <c r="C262" i="10"/>
  <c r="H262" i="10" s="1"/>
  <c r="C261" i="10"/>
  <c r="C260" i="10"/>
  <c r="H260" i="10" s="1"/>
  <c r="C259" i="10"/>
  <c r="C258" i="10"/>
  <c r="C257" i="10"/>
  <c r="C256" i="10"/>
  <c r="C255" i="10"/>
  <c r="H255" i="10" s="1"/>
  <c r="C254" i="10"/>
  <c r="C253" i="10"/>
  <c r="C252" i="10"/>
  <c r="H252" i="10" s="1"/>
  <c r="C251" i="10"/>
  <c r="C250" i="10"/>
  <c r="C249" i="10"/>
  <c r="C248" i="10"/>
  <c r="H248" i="10" s="1"/>
  <c r="C247" i="10"/>
  <c r="H247" i="10" s="1"/>
  <c r="C246" i="10"/>
  <c r="C245" i="10"/>
  <c r="H245" i="10" s="1"/>
  <c r="C244" i="10"/>
  <c r="H244" i="10" s="1"/>
  <c r="C243" i="10"/>
  <c r="C242" i="10"/>
  <c r="C241" i="10"/>
  <c r="C240" i="10"/>
  <c r="H240" i="10" s="1"/>
  <c r="C239" i="10"/>
  <c r="C238" i="10"/>
  <c r="C237" i="10"/>
  <c r="H237" i="10" s="1"/>
  <c r="C236" i="10"/>
  <c r="C235" i="10"/>
  <c r="C234" i="10"/>
  <c r="C233" i="10"/>
  <c r="H232" i="10"/>
  <c r="C232" i="10"/>
  <c r="C231" i="10"/>
  <c r="H231" i="10" s="1"/>
  <c r="C230" i="10"/>
  <c r="H230" i="10" s="1"/>
  <c r="C229" i="10"/>
  <c r="C228" i="10"/>
  <c r="C227" i="10"/>
  <c r="C226" i="10"/>
  <c r="H226" i="10" s="1"/>
  <c r="C225" i="10"/>
  <c r="C224" i="10"/>
  <c r="C223" i="10"/>
  <c r="H223" i="10" s="1"/>
  <c r="C222" i="10"/>
  <c r="C221" i="10"/>
  <c r="C220" i="10"/>
  <c r="C219" i="10"/>
  <c r="C218" i="10"/>
  <c r="H218" i="10" s="1"/>
  <c r="C217" i="10"/>
  <c r="H217" i="10" s="1"/>
  <c r="C216" i="10"/>
  <c r="H216" i="10" s="1"/>
  <c r="C215" i="10"/>
  <c r="H215" i="10" s="1"/>
  <c r="C214" i="10"/>
  <c r="C213" i="10"/>
  <c r="C212" i="10"/>
  <c r="C211" i="10"/>
  <c r="H211" i="10" s="1"/>
  <c r="C210" i="10"/>
  <c r="H210" i="10" s="1"/>
  <c r="C209" i="10"/>
  <c r="C208" i="10"/>
  <c r="H208" i="10" s="1"/>
  <c r="C207" i="10"/>
  <c r="C206" i="10"/>
  <c r="C205" i="10"/>
  <c r="C204" i="10"/>
  <c r="H204" i="10" s="1"/>
  <c r="C203" i="10"/>
  <c r="C202" i="10"/>
  <c r="C201" i="10"/>
  <c r="H200" i="10"/>
  <c r="C200" i="10"/>
  <c r="C199" i="10"/>
  <c r="C198" i="10"/>
  <c r="C197" i="10"/>
  <c r="H197" i="10" s="1"/>
  <c r="C196" i="10"/>
  <c r="H196" i="10" s="1"/>
  <c r="C195" i="10"/>
  <c r="C194" i="10"/>
  <c r="H194" i="10" s="1"/>
  <c r="C193" i="10"/>
  <c r="C192" i="10"/>
  <c r="C191" i="10"/>
  <c r="C190" i="10"/>
  <c r="C189" i="10"/>
  <c r="H189" i="10" s="1"/>
  <c r="C188" i="10"/>
  <c r="H188" i="10" s="1"/>
  <c r="C187" i="10"/>
  <c r="C186" i="10"/>
  <c r="H186" i="10" s="1"/>
  <c r="C185" i="10"/>
  <c r="H185" i="10" s="1"/>
  <c r="C184" i="10"/>
  <c r="C183" i="10"/>
  <c r="C182" i="10"/>
  <c r="C181" i="10"/>
  <c r="H181" i="10" s="1"/>
  <c r="C180" i="10"/>
  <c r="C179" i="10"/>
  <c r="H179" i="10" s="1"/>
  <c r="C178" i="10"/>
  <c r="H178" i="10" s="1"/>
  <c r="C177" i="10"/>
  <c r="C176" i="10"/>
  <c r="H176" i="10" s="1"/>
  <c r="C175" i="10"/>
  <c r="H175" i="10" s="1"/>
  <c r="C174" i="10"/>
  <c r="C173" i="10"/>
  <c r="C172" i="10"/>
  <c r="H172" i="10" s="1"/>
  <c r="C171" i="10"/>
  <c r="C170" i="10"/>
  <c r="C169" i="10"/>
  <c r="C168" i="10"/>
  <c r="H168" i="10" s="1"/>
  <c r="C167" i="10"/>
  <c r="H167" i="10" s="1"/>
  <c r="C166" i="10"/>
  <c r="H166" i="10" s="1"/>
  <c r="H165" i="10"/>
  <c r="C165" i="10"/>
  <c r="C164" i="10"/>
  <c r="H164" i="10" s="1"/>
  <c r="C163" i="10"/>
  <c r="H163" i="10" s="1"/>
  <c r="H162" i="10"/>
  <c r="C162" i="10"/>
  <c r="C161" i="10"/>
  <c r="H160" i="10" s="1"/>
  <c r="C160" i="10"/>
  <c r="C159" i="10"/>
  <c r="H159" i="10" s="1"/>
  <c r="C158" i="10"/>
  <c r="H158" i="10" s="1"/>
  <c r="C157" i="10"/>
  <c r="H157" i="10" s="1"/>
  <c r="H156" i="10"/>
  <c r="C156" i="10"/>
  <c r="C155" i="10"/>
  <c r="C154" i="10"/>
  <c r="H154" i="10" s="1"/>
  <c r="H153" i="10"/>
  <c r="C153" i="10"/>
  <c r="C152" i="10"/>
  <c r="H152" i="10" s="1"/>
  <c r="C151" i="10"/>
  <c r="C150" i="10"/>
  <c r="H150" i="10" s="1"/>
  <c r="C149" i="10"/>
  <c r="H149" i="10" s="1"/>
  <c r="C148" i="10"/>
  <c r="H148" i="10" s="1"/>
  <c r="C147" i="10"/>
  <c r="H147" i="10" s="1"/>
  <c r="C146" i="10"/>
  <c r="C145" i="10"/>
  <c r="H145" i="10" s="1"/>
  <c r="H144" i="10"/>
  <c r="C144" i="10"/>
  <c r="C143" i="10"/>
  <c r="H143" i="10" s="1"/>
  <c r="H142" i="10"/>
  <c r="C142" i="10"/>
  <c r="C141" i="10"/>
  <c r="H141" i="10" s="1"/>
  <c r="C140" i="10"/>
  <c r="H140" i="10" s="1"/>
  <c r="C139" i="10"/>
  <c r="C138" i="10"/>
  <c r="H137" i="10" s="1"/>
  <c r="C137" i="10"/>
  <c r="C136" i="10"/>
  <c r="H136" i="10" s="1"/>
  <c r="C135" i="10"/>
  <c r="H135" i="10" s="1"/>
  <c r="C134" i="10"/>
  <c r="H134" i="10" s="1"/>
  <c r="H133" i="10"/>
  <c r="C133" i="10"/>
  <c r="C132" i="10"/>
  <c r="H132" i="10" s="1"/>
  <c r="C131" i="10"/>
  <c r="H131" i="10" s="1"/>
  <c r="H130" i="10"/>
  <c r="C130" i="10"/>
  <c r="C129" i="10"/>
  <c r="H128" i="10" s="1"/>
  <c r="C128" i="10"/>
  <c r="C127" i="10"/>
  <c r="H127" i="10" s="1"/>
  <c r="C126" i="10"/>
  <c r="H126" i="10" s="1"/>
  <c r="C125" i="10"/>
  <c r="H125" i="10" s="1"/>
  <c r="H124" i="10"/>
  <c r="C124" i="10"/>
  <c r="C123" i="10"/>
  <c r="C122" i="10"/>
  <c r="H122" i="10" s="1"/>
  <c r="H121" i="10"/>
  <c r="C121" i="10"/>
  <c r="C120" i="10"/>
  <c r="H120" i="10" s="1"/>
  <c r="C119" i="10"/>
  <c r="C118" i="10"/>
  <c r="H118" i="10" s="1"/>
  <c r="C117" i="10"/>
  <c r="H117" i="10" s="1"/>
  <c r="C116" i="10"/>
  <c r="H116" i="10" s="1"/>
  <c r="C115" i="10"/>
  <c r="H115" i="10" s="1"/>
  <c r="C114" i="10"/>
  <c r="C113" i="10"/>
  <c r="H113" i="10" s="1"/>
  <c r="H112" i="10"/>
  <c r="C112" i="10"/>
  <c r="C111" i="10"/>
  <c r="H111" i="10" s="1"/>
  <c r="H110" i="10"/>
  <c r="C110" i="10"/>
  <c r="C109" i="10"/>
  <c r="H109" i="10" s="1"/>
  <c r="C108" i="10"/>
  <c r="H108" i="10" s="1"/>
  <c r="C107" i="10"/>
  <c r="C106" i="10"/>
  <c r="H105" i="10" s="1"/>
  <c r="C105" i="10"/>
  <c r="C104" i="10"/>
  <c r="H104" i="10" s="1"/>
  <c r="C103" i="10"/>
  <c r="H103" i="10" s="1"/>
  <c r="C102" i="10"/>
  <c r="H102" i="10" s="1"/>
  <c r="H101" i="10"/>
  <c r="C101" i="10"/>
  <c r="C100" i="10"/>
  <c r="H100" i="10" s="1"/>
  <c r="C99" i="10"/>
  <c r="H99" i="10" s="1"/>
  <c r="H98" i="10"/>
  <c r="C98" i="10"/>
  <c r="C97" i="10"/>
  <c r="H96" i="10" s="1"/>
  <c r="C96" i="10"/>
  <c r="C95" i="10"/>
  <c r="H95" i="10" s="1"/>
  <c r="C94" i="10"/>
  <c r="H94" i="10" s="1"/>
  <c r="C93" i="10"/>
  <c r="H93" i="10" s="1"/>
  <c r="H92" i="10"/>
  <c r="C92" i="10"/>
  <c r="C91" i="10"/>
  <c r="C90" i="10"/>
  <c r="H90" i="10" s="1"/>
  <c r="H89" i="10"/>
  <c r="C89" i="10"/>
  <c r="C88" i="10"/>
  <c r="H88" i="10" s="1"/>
  <c r="C87" i="10"/>
  <c r="C86" i="10"/>
  <c r="H86" i="10" s="1"/>
  <c r="C85" i="10"/>
  <c r="H85" i="10" s="1"/>
  <c r="C84" i="10"/>
  <c r="H84" i="10" s="1"/>
  <c r="C83" i="10"/>
  <c r="H83" i="10" s="1"/>
  <c r="C82" i="10"/>
  <c r="C81" i="10"/>
  <c r="H81" i="10" s="1"/>
  <c r="H80" i="10"/>
  <c r="C80" i="10"/>
  <c r="C79" i="10"/>
  <c r="H79" i="10" s="1"/>
  <c r="H78" i="10"/>
  <c r="C78" i="10"/>
  <c r="C77" i="10"/>
  <c r="H77" i="10" s="1"/>
  <c r="C76" i="10"/>
  <c r="H76" i="10" s="1"/>
  <c r="C75" i="10"/>
  <c r="C74" i="10"/>
  <c r="H73" i="10" s="1"/>
  <c r="C73" i="10"/>
  <c r="C72" i="10"/>
  <c r="H72" i="10" s="1"/>
  <c r="C71" i="10"/>
  <c r="H71" i="10" s="1"/>
  <c r="C70" i="10"/>
  <c r="H70" i="10" s="1"/>
  <c r="H69" i="10"/>
  <c r="C69" i="10"/>
  <c r="C68" i="10"/>
  <c r="H68" i="10" s="1"/>
  <c r="C67" i="10"/>
  <c r="H67" i="10" s="1"/>
  <c r="H66" i="10"/>
  <c r="C66" i="10"/>
  <c r="C65" i="10"/>
  <c r="H64" i="10" s="1"/>
  <c r="C64" i="10"/>
  <c r="C63" i="10"/>
  <c r="H63" i="10" s="1"/>
  <c r="C62" i="10"/>
  <c r="H62" i="10" s="1"/>
  <c r="C61" i="10"/>
  <c r="H61" i="10" s="1"/>
  <c r="H60" i="10"/>
  <c r="C60" i="10"/>
  <c r="C59" i="10"/>
  <c r="C58" i="10"/>
  <c r="H58" i="10" s="1"/>
  <c r="H57" i="10"/>
  <c r="C57" i="10"/>
  <c r="C56" i="10"/>
  <c r="H56" i="10" s="1"/>
  <c r="C55" i="10"/>
  <c r="C54" i="10"/>
  <c r="H54" i="10" s="1"/>
  <c r="C53" i="10"/>
  <c r="H53" i="10" s="1"/>
  <c r="C52" i="10"/>
  <c r="H52" i="10" s="1"/>
  <c r="C51" i="10"/>
  <c r="H51" i="10" s="1"/>
  <c r="C50" i="10"/>
  <c r="C49" i="10"/>
  <c r="H49" i="10" s="1"/>
  <c r="H48" i="10"/>
  <c r="C48" i="10"/>
  <c r="C47" i="10"/>
  <c r="H47" i="10" s="1"/>
  <c r="H46" i="10"/>
  <c r="C46" i="10"/>
  <c r="C45" i="10"/>
  <c r="H45" i="10" s="1"/>
  <c r="C44" i="10"/>
  <c r="H44" i="10" s="1"/>
  <c r="C43" i="10"/>
  <c r="C42" i="10"/>
  <c r="H41" i="10" s="1"/>
  <c r="C41" i="10"/>
  <c r="C40" i="10"/>
  <c r="H40" i="10" s="1"/>
  <c r="C39" i="10"/>
  <c r="H39" i="10" s="1"/>
  <c r="C38" i="10"/>
  <c r="H38" i="10" s="1"/>
  <c r="H37" i="10"/>
  <c r="C37" i="10"/>
  <c r="C36" i="10"/>
  <c r="H36" i="10" s="1"/>
  <c r="C35" i="10"/>
  <c r="H35" i="10" s="1"/>
  <c r="H34" i="10"/>
  <c r="C34" i="10"/>
  <c r="C33" i="10"/>
  <c r="H32" i="10" s="1"/>
  <c r="C32" i="10"/>
  <c r="C31" i="10"/>
  <c r="H31" i="10" s="1"/>
  <c r="C30" i="10"/>
  <c r="H30" i="10" s="1"/>
  <c r="C29" i="10"/>
  <c r="H29" i="10" s="1"/>
  <c r="H28" i="10"/>
  <c r="C28" i="10"/>
  <c r="C27" i="10"/>
  <c r="C26" i="10"/>
  <c r="H26" i="10" s="1"/>
  <c r="H25" i="10"/>
  <c r="C25" i="10"/>
  <c r="C24" i="10"/>
  <c r="H24" i="10" s="1"/>
  <c r="C23" i="10"/>
  <c r="C22" i="10"/>
  <c r="H22" i="10" s="1"/>
  <c r="C21" i="10"/>
  <c r="H21" i="10" s="1"/>
  <c r="C20" i="10"/>
  <c r="H20" i="10" s="1"/>
  <c r="C19" i="10"/>
  <c r="H19" i="10" s="1"/>
  <c r="C18" i="10"/>
  <c r="C17" i="10"/>
  <c r="H17" i="10" s="1"/>
  <c r="H16" i="10"/>
  <c r="C16" i="10"/>
  <c r="C15" i="10"/>
  <c r="H15" i="10" s="1"/>
  <c r="H14" i="10"/>
  <c r="C14" i="10"/>
  <c r="C13" i="10"/>
  <c r="H13" i="10" s="1"/>
  <c r="C12" i="10"/>
  <c r="H12" i="10" s="1"/>
  <c r="C11" i="10"/>
  <c r="C10" i="10"/>
  <c r="H9" i="10" s="1"/>
  <c r="C9" i="10"/>
  <c r="C8" i="10"/>
  <c r="H8" i="10" s="1"/>
  <c r="C7" i="10"/>
  <c r="H7" i="10" s="1"/>
  <c r="C6" i="10"/>
  <c r="H6" i="10" s="1"/>
  <c r="H5" i="10"/>
  <c r="C5" i="10"/>
  <c r="C4" i="10"/>
  <c r="H4" i="10" s="1"/>
  <c r="C3" i="10"/>
  <c r="H3" i="10" s="1"/>
  <c r="H2" i="10"/>
  <c r="D8" i="9"/>
  <c r="B7" i="9"/>
  <c r="B8" i="9" s="1"/>
  <c r="B9" i="9" s="1"/>
  <c r="B10" i="9" s="1"/>
  <c r="B10" i="8"/>
  <c r="E13" i="8" s="1"/>
  <c r="H4" i="9" l="1"/>
  <c r="H5" i="9" s="1"/>
  <c r="H33" i="10"/>
  <c r="H65" i="10"/>
  <c r="H74" i="10"/>
  <c r="H97" i="10"/>
  <c r="H106" i="10"/>
  <c r="H129" i="10"/>
  <c r="H138" i="10"/>
  <c r="H161" i="10"/>
  <c r="H10" i="10"/>
  <c r="H42" i="10"/>
  <c r="H11" i="10"/>
  <c r="H43" i="10"/>
  <c r="H75" i="10"/>
  <c r="H107" i="10"/>
  <c r="H139" i="10"/>
  <c r="H173" i="10"/>
  <c r="H180" i="10"/>
  <c r="H202" i="10"/>
  <c r="H224" i="10"/>
  <c r="H239" i="10"/>
  <c r="H253" i="10"/>
  <c r="H261" i="10"/>
  <c r="H268" i="10"/>
  <c r="H275" i="10"/>
  <c r="H282" i="10"/>
  <c r="H290" i="10"/>
  <c r="H319" i="10"/>
  <c r="H341" i="10"/>
  <c r="H348" i="10"/>
  <c r="H356" i="10"/>
  <c r="H370" i="10"/>
  <c r="H377" i="10"/>
  <c r="H390" i="10"/>
  <c r="H403" i="10"/>
  <c r="H409" i="10"/>
  <c r="H422" i="10"/>
  <c r="H435" i="10"/>
  <c r="H441" i="10"/>
  <c r="H454" i="10"/>
  <c r="H467" i="10"/>
  <c r="H473" i="10"/>
  <c r="H486" i="10"/>
  <c r="H499" i="10"/>
  <c r="H505" i="10"/>
  <c r="H183" i="10"/>
  <c r="H198" i="10"/>
  <c r="H205" i="10"/>
  <c r="H212" i="10"/>
  <c r="H234" i="10"/>
  <c r="H256" i="10"/>
  <c r="H271" i="10"/>
  <c r="H285" i="10"/>
  <c r="H293" i="10"/>
  <c r="H300" i="10"/>
  <c r="H307" i="10"/>
  <c r="H322" i="10"/>
  <c r="H351" i="10"/>
  <c r="H373" i="10"/>
  <c r="H386" i="10"/>
  <c r="H399" i="10"/>
  <c r="H405" i="10"/>
  <c r="H418" i="10"/>
  <c r="H431" i="10"/>
  <c r="H437" i="10"/>
  <c r="H450" i="10"/>
  <c r="H463" i="10"/>
  <c r="H469" i="10"/>
  <c r="H482" i="10"/>
  <c r="H495" i="10"/>
  <c r="H501" i="10"/>
  <c r="H27" i="10"/>
  <c r="H59" i="10"/>
  <c r="H91" i="10"/>
  <c r="H123" i="10"/>
  <c r="H155" i="10"/>
  <c r="H191" i="10"/>
  <c r="H199" i="10"/>
  <c r="H213" i="10"/>
  <c r="H220" i="10"/>
  <c r="H228" i="10"/>
  <c r="H242" i="10"/>
  <c r="H249" i="10"/>
  <c r="H279" i="10"/>
  <c r="H294" i="10"/>
  <c r="H301" i="10"/>
  <c r="H308" i="10"/>
  <c r="H330" i="10"/>
  <c r="H352" i="10"/>
  <c r="H367" i="10"/>
  <c r="H387" i="10"/>
  <c r="H406" i="10"/>
  <c r="H419" i="10"/>
  <c r="H438" i="10"/>
  <c r="H451" i="10"/>
  <c r="H470" i="10"/>
  <c r="H483" i="10"/>
  <c r="H502" i="10"/>
  <c r="H18" i="10"/>
  <c r="H23" i="10"/>
  <c r="H50" i="10"/>
  <c r="H55" i="10"/>
  <c r="H82" i="10"/>
  <c r="H87" i="10"/>
  <c r="H114" i="10"/>
  <c r="H119" i="10"/>
  <c r="H146" i="10"/>
  <c r="H151" i="10"/>
  <c r="H170" i="10"/>
  <c r="H184" i="10"/>
  <c r="H192" i="10"/>
  <c r="H207" i="10"/>
  <c r="H221" i="10"/>
  <c r="H229" i="10"/>
  <c r="H236" i="10"/>
  <c r="H243" i="10"/>
  <c r="H250" i="10"/>
  <c r="H258" i="10"/>
  <c r="H287" i="10"/>
  <c r="H295" i="10"/>
  <c r="H309" i="10"/>
  <c r="H316" i="10"/>
  <c r="H324" i="10"/>
  <c r="H338" i="10"/>
  <c r="H345" i="10"/>
  <c r="H375" i="10"/>
  <c r="H381" i="10"/>
  <c r="H394" i="10"/>
  <c r="H407" i="10"/>
  <c r="H413" i="10"/>
  <c r="H426" i="10"/>
  <c r="H439" i="10"/>
  <c r="H445" i="10"/>
  <c r="H458" i="10"/>
  <c r="H471" i="10"/>
  <c r="H477" i="10"/>
  <c r="H490" i="10"/>
  <c r="H503" i="10"/>
  <c r="H169" i="10"/>
  <c r="H182" i="10"/>
  <c r="H195" i="10"/>
  <c r="H201" i="10"/>
  <c r="H214" i="10"/>
  <c r="H227" i="10"/>
  <c r="H233" i="10"/>
  <c r="H246" i="10"/>
  <c r="H259" i="10"/>
  <c r="H265" i="10"/>
  <c r="H278" i="10"/>
  <c r="H291" i="10"/>
  <c r="H297" i="10"/>
  <c r="H310" i="10"/>
  <c r="H323" i="10"/>
  <c r="H329" i="10"/>
  <c r="H342" i="10"/>
  <c r="H355" i="10"/>
  <c r="H361" i="10"/>
  <c r="H374" i="10"/>
  <c r="H393" i="10"/>
  <c r="H425" i="10"/>
  <c r="H457" i="10"/>
  <c r="H489" i="10"/>
  <c r="H171" i="10"/>
  <c r="H177" i="10"/>
  <c r="H190" i="10"/>
  <c r="H203" i="10"/>
  <c r="H209" i="10"/>
  <c r="H222" i="10"/>
  <c r="H235" i="10"/>
  <c r="H241" i="10"/>
  <c r="H254" i="10"/>
  <c r="H267" i="10"/>
  <c r="H273" i="10"/>
  <c r="H286" i="10"/>
  <c r="H299" i="10"/>
  <c r="H305" i="10"/>
  <c r="H318" i="10"/>
  <c r="H331" i="10"/>
  <c r="H337" i="10"/>
  <c r="H350" i="10"/>
  <c r="H363" i="10"/>
  <c r="H369" i="10"/>
  <c r="H401" i="10"/>
  <c r="H433" i="10"/>
  <c r="H465" i="10"/>
  <c r="H497" i="10"/>
  <c r="H314" i="10"/>
  <c r="H327" i="10"/>
  <c r="H333" i="10"/>
  <c r="H346" i="10"/>
  <c r="H359" i="10"/>
  <c r="H365" i="10"/>
  <c r="H378" i="10"/>
  <c r="H397" i="10"/>
  <c r="H429" i="10"/>
  <c r="H461" i="10"/>
  <c r="H493" i="10"/>
  <c r="H174" i="10"/>
  <c r="H187" i="10"/>
  <c r="H193" i="10"/>
  <c r="H206" i="10"/>
  <c r="H219" i="10"/>
  <c r="H225" i="10"/>
  <c r="H238" i="10"/>
  <c r="H251" i="10"/>
  <c r="H257" i="10"/>
  <c r="H270" i="10"/>
  <c r="H283" i="10"/>
  <c r="H289" i="10"/>
  <c r="H302" i="10"/>
  <c r="H315" i="10"/>
  <c r="H321" i="10"/>
  <c r="H334" i="10"/>
  <c r="H340" i="10"/>
  <c r="H347" i="10"/>
  <c r="H353" i="10"/>
  <c r="H366" i="10"/>
  <c r="H372" i="10"/>
  <c r="H385" i="10"/>
  <c r="H417" i="10"/>
  <c r="H449" i="10"/>
  <c r="H481" i="10"/>
  <c r="H10" i="9"/>
  <c r="H11" i="9" s="1"/>
  <c r="B11" i="8"/>
  <c r="B13" i="8"/>
  <c r="B25" i="6"/>
  <c r="B16" i="6"/>
  <c r="B20" i="6" s="1"/>
  <c r="H27" i="7"/>
  <c r="H26" i="7"/>
  <c r="H23" i="7"/>
  <c r="H25" i="7"/>
  <c r="I24" i="7"/>
  <c r="I22" i="7"/>
  <c r="I26" i="7"/>
  <c r="I27" i="7"/>
  <c r="H22" i="7"/>
  <c r="H24" i="7"/>
  <c r="I25" i="7"/>
  <c r="I23" i="7"/>
  <c r="C16" i="9" l="1"/>
  <c r="E14" i="8"/>
  <c r="B16" i="8" s="1"/>
  <c r="B14" i="8"/>
  <c r="B15" i="8" s="1"/>
  <c r="B23" i="6"/>
  <c r="E23" i="6"/>
  <c r="C23" i="6"/>
  <c r="D23" i="6"/>
  <c r="F23" i="6"/>
  <c r="B17" i="6"/>
  <c r="B18" i="6" s="1"/>
  <c r="C26" i="6" s="1"/>
  <c r="D27" i="6" s="1"/>
  <c r="E28" i="6" s="1"/>
  <c r="F29" i="6" s="1"/>
  <c r="G30" i="6" s="1"/>
  <c r="G37" i="6" s="1"/>
  <c r="G23" i="6"/>
  <c r="B19" i="6" l="1"/>
  <c r="C25" i="6"/>
  <c r="D26" i="6" l="1"/>
  <c r="E27" i="6" s="1"/>
  <c r="F28" i="6" s="1"/>
  <c r="G29" i="6" s="1"/>
  <c r="G36" i="6" s="1"/>
  <c r="F36" i="6" s="1"/>
  <c r="D25" i="6"/>
  <c r="E25" i="6" s="1"/>
  <c r="E26" i="6" l="1"/>
  <c r="F27" i="6" s="1"/>
  <c r="G28" i="6" s="1"/>
  <c r="G35" i="6" s="1"/>
  <c r="F35" i="6" s="1"/>
  <c r="E35" i="6" s="1"/>
  <c r="F26" i="6" l="1"/>
  <c r="G27" i="6" s="1"/>
  <c r="G34" i="6" s="1"/>
  <c r="F34" i="6" s="1"/>
  <c r="E34" i="6" s="1"/>
  <c r="D34" i="6" s="1"/>
  <c r="F25" i="6"/>
  <c r="G25" i="6" l="1"/>
  <c r="G32" i="6" s="1"/>
  <c r="G26" i="6"/>
  <c r="G33" i="6" s="1"/>
  <c r="F33" i="6" s="1"/>
  <c r="E33" i="6" s="1"/>
  <c r="D33" i="6" s="1"/>
  <c r="C33" i="6" s="1"/>
  <c r="F32" i="6" l="1"/>
  <c r="E32" i="6" s="1"/>
  <c r="D32" i="6" s="1"/>
  <c r="C32" i="6" s="1"/>
  <c r="B32" i="6" s="1"/>
  <c r="E9" i="6" s="1"/>
  <c r="E8" i="6" l="1"/>
</calcChain>
</file>

<file path=xl/sharedStrings.xml><?xml version="1.0" encoding="utf-8"?>
<sst xmlns="http://schemas.openxmlformats.org/spreadsheetml/2006/main" count="160" uniqueCount="125">
  <si>
    <t>Risk Free Rate</t>
  </si>
  <si>
    <t>Delta</t>
  </si>
  <si>
    <t>Gamma</t>
  </si>
  <si>
    <t>Vega</t>
  </si>
  <si>
    <t>Theta</t>
  </si>
  <si>
    <t>Volatility</t>
  </si>
  <si>
    <t>Rho</t>
  </si>
  <si>
    <t>Call</t>
  </si>
  <si>
    <t>Dividend Yield</t>
  </si>
  <si>
    <t>Parameters</t>
  </si>
  <si>
    <t>Time To Expiry</t>
  </si>
  <si>
    <t>Stock Price</t>
  </si>
  <si>
    <t>Strike Price</t>
  </si>
  <si>
    <t>Option Price</t>
  </si>
  <si>
    <t>Put</t>
  </si>
  <si>
    <t>Results</t>
  </si>
  <si>
    <t>Black Scholes and Greeks in VBA</t>
  </si>
  <si>
    <r>
      <t>Stock Price S</t>
    </r>
    <r>
      <rPr>
        <vertAlign val="subscript"/>
        <sz val="11"/>
        <color theme="1"/>
        <rFont val="Calibri"/>
        <family val="2"/>
        <scheme val="minor"/>
      </rPr>
      <t>0</t>
    </r>
  </si>
  <si>
    <t>Binomial</t>
  </si>
  <si>
    <t>d1</t>
  </si>
  <si>
    <t>d2</t>
  </si>
  <si>
    <t>Exercise Price X</t>
  </si>
  <si>
    <t>Value</t>
  </si>
  <si>
    <t>Interest Rate r</t>
  </si>
  <si>
    <t>Time to Maturity</t>
  </si>
  <si>
    <t>Number of Steps</t>
  </si>
  <si>
    <t>Calculations</t>
  </si>
  <si>
    <t>Time Interval</t>
  </si>
  <si>
    <t>Up movement</t>
  </si>
  <si>
    <t>u</t>
  </si>
  <si>
    <t>Down movement</t>
  </si>
  <si>
    <t>d = 1/u</t>
  </si>
  <si>
    <t>Up probability</t>
  </si>
  <si>
    <t>Discount Factor</t>
  </si>
  <si>
    <t>Step</t>
  </si>
  <si>
    <t>Time</t>
  </si>
  <si>
    <t>Please input the Parameters</t>
  </si>
  <si>
    <t>Black-Scholes model Excel</t>
  </si>
  <si>
    <t>S</t>
  </si>
  <si>
    <t>k</t>
  </si>
  <si>
    <t>T</t>
  </si>
  <si>
    <t>sigma</t>
  </si>
  <si>
    <t>r</t>
  </si>
  <si>
    <t>N(d1)</t>
  </si>
  <si>
    <t>N(-d1)</t>
  </si>
  <si>
    <t>N(d2)</t>
  </si>
  <si>
    <t>N(-d2)</t>
  </si>
  <si>
    <t>Call option price</t>
  </si>
  <si>
    <t>Put option price</t>
  </si>
  <si>
    <t>t</t>
  </si>
  <si>
    <t>K</t>
  </si>
  <si>
    <t>payoff</t>
  </si>
  <si>
    <t>d</t>
  </si>
  <si>
    <t>Pu</t>
  </si>
  <si>
    <t>Pd</t>
  </si>
  <si>
    <t>call option value</t>
  </si>
  <si>
    <t>Date</t>
  </si>
  <si>
    <t>Arithmetic Average of 20 days</t>
  </si>
  <si>
    <t>Slope of the arithmetic average of 20 days</t>
  </si>
  <si>
    <t>Open</t>
  </si>
  <si>
    <t>High</t>
  </si>
  <si>
    <t>Low</t>
  </si>
  <si>
    <t>Close</t>
  </si>
  <si>
    <t>Volume</t>
  </si>
  <si>
    <t>Adj Close</t>
  </si>
  <si>
    <t>Time to expiry</t>
  </si>
  <si>
    <t>Exercise price</t>
  </si>
  <si>
    <t>Standard Deviation</t>
  </si>
  <si>
    <t>Sigma</t>
  </si>
  <si>
    <t>Global Min</t>
  </si>
  <si>
    <t>Global Max</t>
  </si>
  <si>
    <t>Contango</t>
  </si>
  <si>
    <t>TRADE SYSTEM 1</t>
  </si>
  <si>
    <t>TRADE SYSTEM 2</t>
  </si>
  <si>
    <t>Buy in Backwardation, Sell in Contango</t>
  </si>
  <si>
    <t>Min 50 days</t>
  </si>
  <si>
    <t>Max 50 days</t>
  </si>
  <si>
    <t>Daily Return</t>
  </si>
  <si>
    <t>Black-Scholes</t>
  </si>
  <si>
    <t>Stocks</t>
  </si>
  <si>
    <t>delta</t>
  </si>
  <si>
    <t>dividend rate q</t>
  </si>
  <si>
    <t>d(1)</t>
  </si>
  <si>
    <t>d(2)</t>
  </si>
  <si>
    <t>C</t>
  </si>
  <si>
    <t>P</t>
  </si>
  <si>
    <t>DELTA  =</t>
  </si>
  <si>
    <t>BLACK-SCHOLES VERSION CONSIDERING DIVIDENDS</t>
  </si>
  <si>
    <t>SMA of 100 days</t>
  </si>
  <si>
    <t>Slope - 100 days</t>
  </si>
  <si>
    <t>Days</t>
  </si>
  <si>
    <t>Risk Free</t>
  </si>
  <si>
    <t>e^-(rf*dt)</t>
  </si>
  <si>
    <t>e^(rf*dt)</t>
  </si>
  <si>
    <t>Binomial Tree</t>
  </si>
  <si>
    <t>Average delta for price per day (last 10 days)</t>
  </si>
  <si>
    <t>Analysis of the forecasted prices. Is the ratio (forecasted value - real value)/forecasted value &lt; 0.1 ?</t>
  </si>
  <si>
    <t>Time (years)</t>
  </si>
  <si>
    <t>Time incrementation</t>
  </si>
  <si>
    <t>Return in up days</t>
  </si>
  <si>
    <t>Return in down days</t>
  </si>
  <si>
    <t>Probability of up day</t>
  </si>
  <si>
    <t>Probability of  down day</t>
  </si>
  <si>
    <t>Steps (maximum of 4)</t>
  </si>
  <si>
    <t xml:space="preserve"> Forecast of the exact price uses the average variation of price per day considering the last 10 days. So the forecasted price is 36.36-0.16 = 36.20</t>
  </si>
  <si>
    <t>1 Ratio</t>
  </si>
  <si>
    <t>2 Ratio</t>
  </si>
  <si>
    <t>3 Ratio</t>
  </si>
  <si>
    <t>Delta Price</t>
  </si>
  <si>
    <t>Delta for price (last month)</t>
  </si>
  <si>
    <t xml:space="preserve">1) For the next day, I would use the slope of the arithmetic average of the last 20 days. Positive slope for a buy and negative for a sell. </t>
  </si>
  <si>
    <t>2) For the next month, I woud use the futures contract (data from marketqview), if it is in Contango I would sell, if it was in backwardation I would buy.</t>
  </si>
  <si>
    <t>Considering 2: SELL. FORECASTED PRICE =  35.06.  Result -&gt; Gain. Next month closed in 33.22.</t>
  </si>
  <si>
    <t>Considering 3: BUY. FORECASTED PRICE =  58.22 Result -&gt; Gain. In 12/28/2016 prices closed at 54.06</t>
  </si>
  <si>
    <t xml:space="preserve">3) For the next year I would consider that prices should go up because of a known phenomenon of return to the mean </t>
  </si>
  <si>
    <t>As the price felt 61.78%, I would consider reasonable that the price should go up in the same percentage. That give us a forecast of 58.82</t>
  </si>
  <si>
    <t>which can be checked in: https://goldeneaglegroup.wordpress.com/2016/05/31/return-to-the-mean/</t>
  </si>
  <si>
    <t>Buy in positive slope (SMA20). Sell in negative slope</t>
  </si>
  <si>
    <t>TRADE SYSTEM 3</t>
  </si>
  <si>
    <t>dez/2011</t>
  </si>
  <si>
    <t>dez2015</t>
  </si>
  <si>
    <t>Buy if last 5 years  in commodity fuel index (high correlation with wti oil) were decreasing in prices. Sell otherwise</t>
  </si>
  <si>
    <t>Analysis  (It is alsoexplained in theummary)</t>
  </si>
  <si>
    <t>Considering 1: SELL.  FORECASTED PRICE =  36.20 Result -&gt; Loss.  Next day prices closed at 37.43</t>
  </si>
  <si>
    <t>The forecasted price is the variation of the last month summed  (subtracted as it is a sell) to the last value. 36.36 - 1.3 = 35.06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</si>
</sst>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,##0.0000"/>
    <numFmt numFmtId="165" formatCode="0.0000000"/>
    <numFmt numFmtId="166" formatCode="0.0000"/>
    <numFmt numFmtId="167" formatCode="0.0"/>
    <numFmt numFmtId="170" formatCode="0.000"/>
  </numFmts>
  <fonts count="13" x14ac:knownFonts="1">
    <font>
      <sz val="10"/>
      <name val="Arial"/>
    </font>
    <font>
      <u/>
      <sz val="10"/>
      <color indexed="12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name val="Calibri"/>
      <family val="2"/>
      <scheme val="minor"/>
    </font>
    <font>
      <u/>
      <sz val="11"/>
      <color indexed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rial"/>
      <family val="2"/>
    </font>
    <font>
      <b/>
      <sz val="10"/>
      <name val="Arial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90">
    <xf numFmtId="0" fontId="0" fillId="0" borderId="0" xfId="0"/>
    <xf numFmtId="4" fontId="2" fillId="0" borderId="0" xfId="0" applyNumberFormat="1" applyFont="1" applyFill="1" applyBorder="1"/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/>
    <xf numFmtId="0" fontId="2" fillId="0" borderId="0" xfId="0" applyFont="1" applyFill="1" applyBorder="1" applyAlignment="1"/>
    <xf numFmtId="0" fontId="4" fillId="0" borderId="0" xfId="1" applyFont="1" applyFill="1" applyBorder="1" applyAlignment="1" applyProtection="1"/>
    <xf numFmtId="0" fontId="5" fillId="0" borderId="0" xfId="1" applyFont="1" applyFill="1" applyBorder="1" applyAlignment="1" applyProtection="1"/>
    <xf numFmtId="0" fontId="7" fillId="0" borderId="0" xfId="0" applyFont="1"/>
    <xf numFmtId="0" fontId="1" fillId="0" borderId="0" xfId="1" applyAlignment="1" applyProtection="1"/>
    <xf numFmtId="0" fontId="0" fillId="0" borderId="0" xfId="0" applyBorder="1"/>
    <xf numFmtId="0" fontId="10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2" fillId="0" borderId="0" xfId="0" applyFont="1"/>
    <xf numFmtId="0" fontId="6" fillId="0" borderId="0" xfId="0" applyFont="1"/>
    <xf numFmtId="165" fontId="6" fillId="0" borderId="0" xfId="0" applyNumberFormat="1" applyFont="1"/>
    <xf numFmtId="165" fontId="0" fillId="0" borderId="0" xfId="0" applyNumberFormat="1"/>
    <xf numFmtId="166" fontId="6" fillId="0" borderId="0" xfId="0" applyNumberFormat="1" applyFont="1"/>
    <xf numFmtId="166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14" fontId="0" fillId="0" borderId="0" xfId="0" applyNumberFormat="1"/>
    <xf numFmtId="167" fontId="0" fillId="0" borderId="0" xfId="0" applyNumberFormat="1"/>
    <xf numFmtId="0" fontId="10" fillId="0" borderId="0" xfId="0" applyFont="1"/>
    <xf numFmtId="0" fontId="0" fillId="3" borderId="0" xfId="0" applyFill="1"/>
    <xf numFmtId="0" fontId="0" fillId="0" borderId="0" xfId="0" applyFill="1"/>
    <xf numFmtId="0" fontId="8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10" fillId="0" borderId="0" xfId="0" applyFont="1" applyFill="1" applyBorder="1"/>
    <xf numFmtId="0" fontId="10" fillId="0" borderId="0" xfId="0" applyFont="1" applyFill="1" applyBorder="1" applyAlignment="1">
      <alignment horizontal="right" vertical="top"/>
    </xf>
    <xf numFmtId="0" fontId="0" fillId="2" borderId="0" xfId="0" applyFill="1" applyBorder="1"/>
    <xf numFmtId="0" fontId="6" fillId="2" borderId="0" xfId="0" applyFont="1" applyFill="1" applyBorder="1"/>
    <xf numFmtId="0" fontId="0" fillId="2" borderId="0" xfId="0" applyFill="1" applyBorder="1" applyAlignment="1">
      <alignment horizontal="center"/>
    </xf>
    <xf numFmtId="0" fontId="11" fillId="2" borderId="0" xfId="0" applyFont="1" applyFill="1" applyBorder="1"/>
    <xf numFmtId="0" fontId="6" fillId="2" borderId="10" xfId="0" applyFont="1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0" xfId="0" applyFill="1" applyBorder="1"/>
    <xf numFmtId="0" fontId="6" fillId="2" borderId="16" xfId="0" applyFont="1" applyFill="1" applyBorder="1" applyAlignment="1">
      <alignment horizontal="right"/>
    </xf>
    <xf numFmtId="0" fontId="6" fillId="2" borderId="13" xfId="0" applyFont="1" applyFill="1" applyBorder="1"/>
    <xf numFmtId="0" fontId="6" fillId="2" borderId="12" xfId="0" applyFont="1" applyFill="1" applyBorder="1"/>
    <xf numFmtId="0" fontId="6" fillId="2" borderId="14" xfId="0" applyFont="1" applyFill="1" applyBorder="1"/>
    <xf numFmtId="0" fontId="0" fillId="2" borderId="17" xfId="0" applyFill="1" applyBorder="1"/>
    <xf numFmtId="0" fontId="0" fillId="2" borderId="16" xfId="0" applyFill="1" applyBorder="1"/>
    <xf numFmtId="0" fontId="3" fillId="2" borderId="1" xfId="0" applyFont="1" applyFill="1" applyBorder="1"/>
    <xf numFmtId="0" fontId="2" fillId="2" borderId="3" xfId="0" applyFont="1" applyFill="1" applyBorder="1"/>
    <xf numFmtId="0" fontId="2" fillId="2" borderId="4" xfId="0" applyFont="1" applyFill="1" applyBorder="1" applyAlignment="1"/>
    <xf numFmtId="0" fontId="2" fillId="2" borderId="5" xfId="0" applyFont="1" applyFill="1" applyBorder="1"/>
    <xf numFmtId="0" fontId="2" fillId="2" borderId="5" xfId="0" applyNumberFormat="1" applyFont="1" applyFill="1" applyBorder="1"/>
    <xf numFmtId="9" fontId="2" fillId="2" borderId="5" xfId="0" applyNumberFormat="1" applyFont="1" applyFill="1" applyBorder="1"/>
    <xf numFmtId="10" fontId="2" fillId="2" borderId="5" xfId="0" applyNumberFormat="1" applyFont="1" applyFill="1" applyBorder="1"/>
    <xf numFmtId="0" fontId="2" fillId="2" borderId="6" xfId="0" applyFont="1" applyFill="1" applyBorder="1" applyAlignment="1"/>
    <xf numFmtId="10" fontId="2" fillId="2" borderId="8" xfId="0" applyNumberFormat="1" applyFont="1" applyFill="1" applyBorder="1"/>
    <xf numFmtId="0" fontId="3" fillId="2" borderId="1" xfId="0" applyFont="1" applyFill="1" applyBorder="1" applyAlignment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64" fontId="2" fillId="2" borderId="0" xfId="0" applyNumberFormat="1" applyFont="1" applyFill="1" applyBorder="1"/>
    <xf numFmtId="164" fontId="2" fillId="2" borderId="5" xfId="0" applyNumberFormat="1" applyFont="1" applyFill="1" applyBorder="1"/>
    <xf numFmtId="164" fontId="2" fillId="2" borderId="7" xfId="0" applyNumberFormat="1" applyFont="1" applyFill="1" applyBorder="1"/>
    <xf numFmtId="164" fontId="2" fillId="2" borderId="8" xfId="0" applyNumberFormat="1" applyFont="1" applyFill="1" applyBorder="1"/>
    <xf numFmtId="170" fontId="0" fillId="0" borderId="0" xfId="0" applyNumberFormat="1"/>
    <xf numFmtId="0" fontId="2" fillId="0" borderId="0" xfId="0" applyFont="1"/>
    <xf numFmtId="2" fontId="2" fillId="0" borderId="0" xfId="0" applyNumberFormat="1" applyFont="1"/>
    <xf numFmtId="170" fontId="6" fillId="0" borderId="0" xfId="0" applyNumberFormat="1" applyFont="1"/>
    <xf numFmtId="0" fontId="2" fillId="0" borderId="0" xfId="0" applyFont="1" applyFill="1"/>
    <xf numFmtId="166" fontId="0" fillId="0" borderId="0" xfId="0" applyNumberFormat="1" applyFill="1"/>
    <xf numFmtId="0" fontId="0" fillId="0" borderId="0" xfId="0" applyAlignment="1">
      <alignment horizontal="center" vertical="center"/>
    </xf>
    <xf numFmtId="2" fontId="0" fillId="0" borderId="11" xfId="0" applyNumberFormat="1" applyBorder="1"/>
    <xf numFmtId="166" fontId="0" fillId="0" borderId="13" xfId="0" applyNumberFormat="1" applyBorder="1"/>
    <xf numFmtId="0" fontId="0" fillId="0" borderId="13" xfId="0" applyBorder="1"/>
    <xf numFmtId="170" fontId="0" fillId="0" borderId="13" xfId="0" applyNumberFormat="1" applyBorder="1"/>
    <xf numFmtId="166" fontId="0" fillId="0" borderId="13" xfId="0" applyNumberFormat="1" applyFill="1" applyBorder="1"/>
    <xf numFmtId="0" fontId="2" fillId="0" borderId="14" xfId="0" applyFont="1" applyBorder="1"/>
    <xf numFmtId="0" fontId="0" fillId="0" borderId="18" xfId="0" applyBorder="1"/>
    <xf numFmtId="0" fontId="0" fillId="0" borderId="19" xfId="0" applyBorder="1"/>
    <xf numFmtId="0" fontId="2" fillId="0" borderId="19" xfId="0" applyFont="1" applyFill="1" applyBorder="1"/>
    <xf numFmtId="0" fontId="2" fillId="0" borderId="19" xfId="0" applyFont="1" applyBorder="1"/>
    <xf numFmtId="166" fontId="0" fillId="0" borderId="20" xfId="0" applyNumberFormat="1" applyFill="1" applyBorder="1"/>
    <xf numFmtId="0" fontId="0" fillId="0" borderId="1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5" xfId="0" applyBorder="1" applyAlignment="1">
      <alignment horizontal="center"/>
    </xf>
    <xf numFmtId="0" fontId="10" fillId="3" borderId="0" xfId="0" applyFont="1" applyFill="1"/>
    <xf numFmtId="17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Value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'WTI Analysis'!$A$2:$A$507</c:f>
              <c:numCache>
                <c:formatCode>dd-mm-yy</c:formatCode>
                <c:ptCount val="506"/>
                <c:pt idx="0">
                  <c:v>41641</c:v>
                </c:pt>
                <c:pt idx="1">
                  <c:v>41642</c:v>
                </c:pt>
                <c:pt idx="2">
                  <c:v>41645</c:v>
                </c:pt>
                <c:pt idx="3">
                  <c:v>41646</c:v>
                </c:pt>
                <c:pt idx="4">
                  <c:v>41647</c:v>
                </c:pt>
                <c:pt idx="5">
                  <c:v>41648</c:v>
                </c:pt>
                <c:pt idx="6">
                  <c:v>41649</c:v>
                </c:pt>
                <c:pt idx="7">
                  <c:v>41652</c:v>
                </c:pt>
                <c:pt idx="8">
                  <c:v>41653</c:v>
                </c:pt>
                <c:pt idx="9">
                  <c:v>41654</c:v>
                </c:pt>
                <c:pt idx="10">
                  <c:v>41655</c:v>
                </c:pt>
                <c:pt idx="11">
                  <c:v>41656</c:v>
                </c:pt>
                <c:pt idx="12">
                  <c:v>41660</c:v>
                </c:pt>
                <c:pt idx="13">
                  <c:v>41661</c:v>
                </c:pt>
                <c:pt idx="14">
                  <c:v>41662</c:v>
                </c:pt>
                <c:pt idx="15">
                  <c:v>41663</c:v>
                </c:pt>
                <c:pt idx="16">
                  <c:v>41666</c:v>
                </c:pt>
                <c:pt idx="17">
                  <c:v>41667</c:v>
                </c:pt>
                <c:pt idx="18">
                  <c:v>41668</c:v>
                </c:pt>
                <c:pt idx="19">
                  <c:v>41669</c:v>
                </c:pt>
                <c:pt idx="20">
                  <c:v>41670</c:v>
                </c:pt>
                <c:pt idx="21">
                  <c:v>41673</c:v>
                </c:pt>
                <c:pt idx="22">
                  <c:v>41674</c:v>
                </c:pt>
                <c:pt idx="23">
                  <c:v>41675</c:v>
                </c:pt>
                <c:pt idx="24">
                  <c:v>41676</c:v>
                </c:pt>
                <c:pt idx="25">
                  <c:v>41677</c:v>
                </c:pt>
                <c:pt idx="26">
                  <c:v>41680</c:v>
                </c:pt>
                <c:pt idx="27">
                  <c:v>41681</c:v>
                </c:pt>
                <c:pt idx="28">
                  <c:v>41682</c:v>
                </c:pt>
                <c:pt idx="29">
                  <c:v>41683</c:v>
                </c:pt>
                <c:pt idx="30">
                  <c:v>41684</c:v>
                </c:pt>
                <c:pt idx="31">
                  <c:v>41688</c:v>
                </c:pt>
                <c:pt idx="32">
                  <c:v>41689</c:v>
                </c:pt>
                <c:pt idx="33">
                  <c:v>41690</c:v>
                </c:pt>
                <c:pt idx="34">
                  <c:v>41691</c:v>
                </c:pt>
                <c:pt idx="35">
                  <c:v>41694</c:v>
                </c:pt>
                <c:pt idx="36">
                  <c:v>41695</c:v>
                </c:pt>
                <c:pt idx="37">
                  <c:v>41696</c:v>
                </c:pt>
                <c:pt idx="38">
                  <c:v>41697</c:v>
                </c:pt>
                <c:pt idx="39">
                  <c:v>41698</c:v>
                </c:pt>
                <c:pt idx="40">
                  <c:v>41701</c:v>
                </c:pt>
                <c:pt idx="41">
                  <c:v>41702</c:v>
                </c:pt>
                <c:pt idx="42">
                  <c:v>41703</c:v>
                </c:pt>
                <c:pt idx="43">
                  <c:v>41704</c:v>
                </c:pt>
                <c:pt idx="44">
                  <c:v>41705</c:v>
                </c:pt>
                <c:pt idx="45">
                  <c:v>41708</c:v>
                </c:pt>
                <c:pt idx="46">
                  <c:v>41709</c:v>
                </c:pt>
                <c:pt idx="47">
                  <c:v>41710</c:v>
                </c:pt>
                <c:pt idx="48">
                  <c:v>41711</c:v>
                </c:pt>
                <c:pt idx="49">
                  <c:v>41712</c:v>
                </c:pt>
                <c:pt idx="50">
                  <c:v>41715</c:v>
                </c:pt>
                <c:pt idx="51">
                  <c:v>41716</c:v>
                </c:pt>
                <c:pt idx="52">
                  <c:v>41717</c:v>
                </c:pt>
                <c:pt idx="53">
                  <c:v>41718</c:v>
                </c:pt>
                <c:pt idx="54">
                  <c:v>41719</c:v>
                </c:pt>
                <c:pt idx="55">
                  <c:v>41722</c:v>
                </c:pt>
                <c:pt idx="56">
                  <c:v>41723</c:v>
                </c:pt>
                <c:pt idx="57">
                  <c:v>41724</c:v>
                </c:pt>
                <c:pt idx="58">
                  <c:v>41725</c:v>
                </c:pt>
                <c:pt idx="59">
                  <c:v>41726</c:v>
                </c:pt>
                <c:pt idx="60">
                  <c:v>41729</c:v>
                </c:pt>
                <c:pt idx="61">
                  <c:v>41730</c:v>
                </c:pt>
                <c:pt idx="62">
                  <c:v>41731</c:v>
                </c:pt>
                <c:pt idx="63">
                  <c:v>41732</c:v>
                </c:pt>
                <c:pt idx="64">
                  <c:v>41733</c:v>
                </c:pt>
                <c:pt idx="65">
                  <c:v>41736</c:v>
                </c:pt>
                <c:pt idx="66">
                  <c:v>41737</c:v>
                </c:pt>
                <c:pt idx="67">
                  <c:v>41738</c:v>
                </c:pt>
                <c:pt idx="68">
                  <c:v>41739</c:v>
                </c:pt>
                <c:pt idx="69">
                  <c:v>41740</c:v>
                </c:pt>
                <c:pt idx="70">
                  <c:v>41743</c:v>
                </c:pt>
                <c:pt idx="71">
                  <c:v>41744</c:v>
                </c:pt>
                <c:pt idx="72">
                  <c:v>41745</c:v>
                </c:pt>
                <c:pt idx="73">
                  <c:v>41746</c:v>
                </c:pt>
                <c:pt idx="74">
                  <c:v>41750</c:v>
                </c:pt>
                <c:pt idx="75">
                  <c:v>41751</c:v>
                </c:pt>
                <c:pt idx="76">
                  <c:v>41752</c:v>
                </c:pt>
                <c:pt idx="77">
                  <c:v>41753</c:v>
                </c:pt>
                <c:pt idx="78">
                  <c:v>41754</c:v>
                </c:pt>
                <c:pt idx="79">
                  <c:v>41757</c:v>
                </c:pt>
                <c:pt idx="80">
                  <c:v>41758</c:v>
                </c:pt>
                <c:pt idx="81">
                  <c:v>41759</c:v>
                </c:pt>
                <c:pt idx="82">
                  <c:v>41760</c:v>
                </c:pt>
                <c:pt idx="83">
                  <c:v>41761</c:v>
                </c:pt>
                <c:pt idx="84">
                  <c:v>41764</c:v>
                </c:pt>
                <c:pt idx="85">
                  <c:v>41765</c:v>
                </c:pt>
                <c:pt idx="86">
                  <c:v>41766</c:v>
                </c:pt>
                <c:pt idx="87">
                  <c:v>41767</c:v>
                </c:pt>
                <c:pt idx="88">
                  <c:v>41768</c:v>
                </c:pt>
                <c:pt idx="89">
                  <c:v>41771</c:v>
                </c:pt>
                <c:pt idx="90">
                  <c:v>41772</c:v>
                </c:pt>
                <c:pt idx="91">
                  <c:v>41773</c:v>
                </c:pt>
                <c:pt idx="92">
                  <c:v>41774</c:v>
                </c:pt>
                <c:pt idx="93">
                  <c:v>41775</c:v>
                </c:pt>
                <c:pt idx="94">
                  <c:v>41778</c:v>
                </c:pt>
                <c:pt idx="95">
                  <c:v>41779</c:v>
                </c:pt>
                <c:pt idx="96">
                  <c:v>41780</c:v>
                </c:pt>
                <c:pt idx="97">
                  <c:v>41781</c:v>
                </c:pt>
                <c:pt idx="98">
                  <c:v>41782</c:v>
                </c:pt>
                <c:pt idx="99">
                  <c:v>41786</c:v>
                </c:pt>
                <c:pt idx="100">
                  <c:v>41787</c:v>
                </c:pt>
                <c:pt idx="101">
                  <c:v>41788</c:v>
                </c:pt>
                <c:pt idx="102">
                  <c:v>41789</c:v>
                </c:pt>
                <c:pt idx="103">
                  <c:v>41792</c:v>
                </c:pt>
                <c:pt idx="104">
                  <c:v>41793</c:v>
                </c:pt>
                <c:pt idx="105">
                  <c:v>41794</c:v>
                </c:pt>
                <c:pt idx="106">
                  <c:v>41795</c:v>
                </c:pt>
                <c:pt idx="107">
                  <c:v>41796</c:v>
                </c:pt>
                <c:pt idx="108">
                  <c:v>41799</c:v>
                </c:pt>
                <c:pt idx="109">
                  <c:v>41800</c:v>
                </c:pt>
                <c:pt idx="110">
                  <c:v>41801</c:v>
                </c:pt>
                <c:pt idx="111">
                  <c:v>41802</c:v>
                </c:pt>
                <c:pt idx="112">
                  <c:v>41803</c:v>
                </c:pt>
                <c:pt idx="113">
                  <c:v>41806</c:v>
                </c:pt>
                <c:pt idx="114">
                  <c:v>41807</c:v>
                </c:pt>
                <c:pt idx="115">
                  <c:v>41808</c:v>
                </c:pt>
                <c:pt idx="116">
                  <c:v>41809</c:v>
                </c:pt>
                <c:pt idx="117">
                  <c:v>41810</c:v>
                </c:pt>
                <c:pt idx="118">
                  <c:v>41813</c:v>
                </c:pt>
                <c:pt idx="119">
                  <c:v>41814</c:v>
                </c:pt>
                <c:pt idx="120">
                  <c:v>41815</c:v>
                </c:pt>
                <c:pt idx="121">
                  <c:v>41816</c:v>
                </c:pt>
                <c:pt idx="122">
                  <c:v>41817</c:v>
                </c:pt>
                <c:pt idx="123">
                  <c:v>41820</c:v>
                </c:pt>
                <c:pt idx="124">
                  <c:v>41821</c:v>
                </c:pt>
                <c:pt idx="125">
                  <c:v>41822</c:v>
                </c:pt>
                <c:pt idx="126">
                  <c:v>41823</c:v>
                </c:pt>
                <c:pt idx="127">
                  <c:v>41827</c:v>
                </c:pt>
                <c:pt idx="128">
                  <c:v>41828</c:v>
                </c:pt>
                <c:pt idx="129">
                  <c:v>41829</c:v>
                </c:pt>
                <c:pt idx="130">
                  <c:v>41830</c:v>
                </c:pt>
                <c:pt idx="131">
                  <c:v>41831</c:v>
                </c:pt>
                <c:pt idx="132">
                  <c:v>41834</c:v>
                </c:pt>
                <c:pt idx="133">
                  <c:v>41835</c:v>
                </c:pt>
                <c:pt idx="134">
                  <c:v>41836</c:v>
                </c:pt>
                <c:pt idx="135">
                  <c:v>41837</c:v>
                </c:pt>
                <c:pt idx="136">
                  <c:v>41838</c:v>
                </c:pt>
                <c:pt idx="137">
                  <c:v>41841</c:v>
                </c:pt>
                <c:pt idx="138">
                  <c:v>41842</c:v>
                </c:pt>
                <c:pt idx="139">
                  <c:v>41843</c:v>
                </c:pt>
                <c:pt idx="140">
                  <c:v>41844</c:v>
                </c:pt>
                <c:pt idx="141">
                  <c:v>41845</c:v>
                </c:pt>
                <c:pt idx="142">
                  <c:v>41848</c:v>
                </c:pt>
                <c:pt idx="143">
                  <c:v>41849</c:v>
                </c:pt>
                <c:pt idx="144">
                  <c:v>41850</c:v>
                </c:pt>
                <c:pt idx="145">
                  <c:v>41851</c:v>
                </c:pt>
                <c:pt idx="146">
                  <c:v>41852</c:v>
                </c:pt>
                <c:pt idx="147">
                  <c:v>41855</c:v>
                </c:pt>
                <c:pt idx="148">
                  <c:v>41856</c:v>
                </c:pt>
                <c:pt idx="149">
                  <c:v>41857</c:v>
                </c:pt>
                <c:pt idx="150">
                  <c:v>41858</c:v>
                </c:pt>
                <c:pt idx="151">
                  <c:v>41859</c:v>
                </c:pt>
                <c:pt idx="152">
                  <c:v>41862</c:v>
                </c:pt>
                <c:pt idx="153">
                  <c:v>41863</c:v>
                </c:pt>
                <c:pt idx="154">
                  <c:v>41864</c:v>
                </c:pt>
                <c:pt idx="155">
                  <c:v>41865</c:v>
                </c:pt>
                <c:pt idx="156">
                  <c:v>41866</c:v>
                </c:pt>
                <c:pt idx="157">
                  <c:v>41869</c:v>
                </c:pt>
                <c:pt idx="158">
                  <c:v>41870</c:v>
                </c:pt>
                <c:pt idx="159">
                  <c:v>41871</c:v>
                </c:pt>
                <c:pt idx="160">
                  <c:v>41872</c:v>
                </c:pt>
                <c:pt idx="161">
                  <c:v>41873</c:v>
                </c:pt>
                <c:pt idx="162">
                  <c:v>41876</c:v>
                </c:pt>
                <c:pt idx="163">
                  <c:v>41877</c:v>
                </c:pt>
                <c:pt idx="164">
                  <c:v>41878</c:v>
                </c:pt>
                <c:pt idx="165">
                  <c:v>41879</c:v>
                </c:pt>
                <c:pt idx="166">
                  <c:v>41880</c:v>
                </c:pt>
                <c:pt idx="167">
                  <c:v>41884</c:v>
                </c:pt>
                <c:pt idx="168">
                  <c:v>41885</c:v>
                </c:pt>
                <c:pt idx="169">
                  <c:v>41886</c:v>
                </c:pt>
                <c:pt idx="170">
                  <c:v>41887</c:v>
                </c:pt>
                <c:pt idx="171">
                  <c:v>41890</c:v>
                </c:pt>
                <c:pt idx="172">
                  <c:v>41891</c:v>
                </c:pt>
                <c:pt idx="173">
                  <c:v>41892</c:v>
                </c:pt>
                <c:pt idx="174">
                  <c:v>41893</c:v>
                </c:pt>
                <c:pt idx="175">
                  <c:v>41894</c:v>
                </c:pt>
                <c:pt idx="176">
                  <c:v>41897</c:v>
                </c:pt>
                <c:pt idx="177">
                  <c:v>41898</c:v>
                </c:pt>
                <c:pt idx="178">
                  <c:v>41899</c:v>
                </c:pt>
                <c:pt idx="179">
                  <c:v>41900</c:v>
                </c:pt>
                <c:pt idx="180">
                  <c:v>41901</c:v>
                </c:pt>
                <c:pt idx="181">
                  <c:v>41904</c:v>
                </c:pt>
                <c:pt idx="182">
                  <c:v>41905</c:v>
                </c:pt>
                <c:pt idx="183">
                  <c:v>41906</c:v>
                </c:pt>
                <c:pt idx="184">
                  <c:v>41907</c:v>
                </c:pt>
                <c:pt idx="185">
                  <c:v>41908</c:v>
                </c:pt>
                <c:pt idx="186">
                  <c:v>41911</c:v>
                </c:pt>
                <c:pt idx="187">
                  <c:v>41912</c:v>
                </c:pt>
                <c:pt idx="188">
                  <c:v>41913</c:v>
                </c:pt>
                <c:pt idx="189">
                  <c:v>41914</c:v>
                </c:pt>
                <c:pt idx="190">
                  <c:v>41915</c:v>
                </c:pt>
                <c:pt idx="191">
                  <c:v>41918</c:v>
                </c:pt>
                <c:pt idx="192">
                  <c:v>41919</c:v>
                </c:pt>
                <c:pt idx="193">
                  <c:v>41920</c:v>
                </c:pt>
                <c:pt idx="194">
                  <c:v>41921</c:v>
                </c:pt>
                <c:pt idx="195">
                  <c:v>41922</c:v>
                </c:pt>
                <c:pt idx="196">
                  <c:v>41925</c:v>
                </c:pt>
                <c:pt idx="197">
                  <c:v>41926</c:v>
                </c:pt>
                <c:pt idx="198">
                  <c:v>41927</c:v>
                </c:pt>
                <c:pt idx="199">
                  <c:v>41928</c:v>
                </c:pt>
                <c:pt idx="200">
                  <c:v>41929</c:v>
                </c:pt>
                <c:pt idx="201">
                  <c:v>41932</c:v>
                </c:pt>
                <c:pt idx="202">
                  <c:v>41933</c:v>
                </c:pt>
                <c:pt idx="203">
                  <c:v>41934</c:v>
                </c:pt>
                <c:pt idx="204">
                  <c:v>41935</c:v>
                </c:pt>
                <c:pt idx="205">
                  <c:v>41936</c:v>
                </c:pt>
                <c:pt idx="206">
                  <c:v>41939</c:v>
                </c:pt>
                <c:pt idx="207">
                  <c:v>41940</c:v>
                </c:pt>
                <c:pt idx="208">
                  <c:v>41941</c:v>
                </c:pt>
                <c:pt idx="209">
                  <c:v>41942</c:v>
                </c:pt>
                <c:pt idx="210">
                  <c:v>41943</c:v>
                </c:pt>
                <c:pt idx="211">
                  <c:v>41946</c:v>
                </c:pt>
                <c:pt idx="212">
                  <c:v>41947</c:v>
                </c:pt>
                <c:pt idx="213">
                  <c:v>41948</c:v>
                </c:pt>
                <c:pt idx="214">
                  <c:v>41949</c:v>
                </c:pt>
                <c:pt idx="215">
                  <c:v>41950</c:v>
                </c:pt>
                <c:pt idx="216">
                  <c:v>41953</c:v>
                </c:pt>
                <c:pt idx="217">
                  <c:v>41954</c:v>
                </c:pt>
                <c:pt idx="218">
                  <c:v>41955</c:v>
                </c:pt>
                <c:pt idx="219">
                  <c:v>41956</c:v>
                </c:pt>
                <c:pt idx="220">
                  <c:v>41957</c:v>
                </c:pt>
                <c:pt idx="221">
                  <c:v>41960</c:v>
                </c:pt>
                <c:pt idx="222">
                  <c:v>41961</c:v>
                </c:pt>
                <c:pt idx="223">
                  <c:v>41962</c:v>
                </c:pt>
                <c:pt idx="224">
                  <c:v>41963</c:v>
                </c:pt>
                <c:pt idx="225">
                  <c:v>41964</c:v>
                </c:pt>
                <c:pt idx="226">
                  <c:v>41967</c:v>
                </c:pt>
                <c:pt idx="227">
                  <c:v>41968</c:v>
                </c:pt>
                <c:pt idx="228">
                  <c:v>41969</c:v>
                </c:pt>
                <c:pt idx="229">
                  <c:v>41971</c:v>
                </c:pt>
                <c:pt idx="230">
                  <c:v>41974</c:v>
                </c:pt>
                <c:pt idx="231">
                  <c:v>41975</c:v>
                </c:pt>
                <c:pt idx="232">
                  <c:v>41976</c:v>
                </c:pt>
                <c:pt idx="233">
                  <c:v>41977</c:v>
                </c:pt>
                <c:pt idx="234">
                  <c:v>41978</c:v>
                </c:pt>
                <c:pt idx="235">
                  <c:v>41981</c:v>
                </c:pt>
                <c:pt idx="236">
                  <c:v>41982</c:v>
                </c:pt>
                <c:pt idx="237">
                  <c:v>41983</c:v>
                </c:pt>
                <c:pt idx="238">
                  <c:v>41984</c:v>
                </c:pt>
                <c:pt idx="239">
                  <c:v>41985</c:v>
                </c:pt>
                <c:pt idx="240">
                  <c:v>41988</c:v>
                </c:pt>
                <c:pt idx="241">
                  <c:v>41989</c:v>
                </c:pt>
                <c:pt idx="242">
                  <c:v>41990</c:v>
                </c:pt>
                <c:pt idx="243">
                  <c:v>41991</c:v>
                </c:pt>
                <c:pt idx="244">
                  <c:v>41992</c:v>
                </c:pt>
                <c:pt idx="245">
                  <c:v>41995</c:v>
                </c:pt>
                <c:pt idx="246">
                  <c:v>41996</c:v>
                </c:pt>
                <c:pt idx="247">
                  <c:v>41997</c:v>
                </c:pt>
                <c:pt idx="248">
                  <c:v>41999</c:v>
                </c:pt>
                <c:pt idx="249">
                  <c:v>42002</c:v>
                </c:pt>
                <c:pt idx="250">
                  <c:v>42003</c:v>
                </c:pt>
                <c:pt idx="251">
                  <c:v>42004</c:v>
                </c:pt>
                <c:pt idx="252">
                  <c:v>42006</c:v>
                </c:pt>
                <c:pt idx="253">
                  <c:v>42009</c:v>
                </c:pt>
                <c:pt idx="254">
                  <c:v>42010</c:v>
                </c:pt>
                <c:pt idx="255">
                  <c:v>42011</c:v>
                </c:pt>
                <c:pt idx="256">
                  <c:v>42012</c:v>
                </c:pt>
                <c:pt idx="257">
                  <c:v>42013</c:v>
                </c:pt>
                <c:pt idx="258">
                  <c:v>42016</c:v>
                </c:pt>
                <c:pt idx="259">
                  <c:v>42017</c:v>
                </c:pt>
                <c:pt idx="260">
                  <c:v>42018</c:v>
                </c:pt>
                <c:pt idx="261">
                  <c:v>42019</c:v>
                </c:pt>
                <c:pt idx="262">
                  <c:v>42020</c:v>
                </c:pt>
                <c:pt idx="263">
                  <c:v>42024</c:v>
                </c:pt>
                <c:pt idx="264">
                  <c:v>42025</c:v>
                </c:pt>
                <c:pt idx="265">
                  <c:v>42026</c:v>
                </c:pt>
                <c:pt idx="266">
                  <c:v>42027</c:v>
                </c:pt>
                <c:pt idx="267">
                  <c:v>42030</c:v>
                </c:pt>
                <c:pt idx="268">
                  <c:v>42031</c:v>
                </c:pt>
                <c:pt idx="269">
                  <c:v>42032</c:v>
                </c:pt>
                <c:pt idx="270">
                  <c:v>42033</c:v>
                </c:pt>
                <c:pt idx="271">
                  <c:v>42034</c:v>
                </c:pt>
                <c:pt idx="272">
                  <c:v>42037</c:v>
                </c:pt>
                <c:pt idx="273">
                  <c:v>42038</c:v>
                </c:pt>
                <c:pt idx="274">
                  <c:v>42039</c:v>
                </c:pt>
                <c:pt idx="275">
                  <c:v>42040</c:v>
                </c:pt>
                <c:pt idx="276">
                  <c:v>42041</c:v>
                </c:pt>
                <c:pt idx="277">
                  <c:v>42044</c:v>
                </c:pt>
                <c:pt idx="278">
                  <c:v>42045</c:v>
                </c:pt>
                <c:pt idx="279">
                  <c:v>42046</c:v>
                </c:pt>
                <c:pt idx="280">
                  <c:v>42047</c:v>
                </c:pt>
                <c:pt idx="281">
                  <c:v>42048</c:v>
                </c:pt>
                <c:pt idx="282">
                  <c:v>42051</c:v>
                </c:pt>
                <c:pt idx="283">
                  <c:v>42052</c:v>
                </c:pt>
                <c:pt idx="284">
                  <c:v>42053</c:v>
                </c:pt>
                <c:pt idx="285">
                  <c:v>42054</c:v>
                </c:pt>
                <c:pt idx="286">
                  <c:v>42055</c:v>
                </c:pt>
                <c:pt idx="287">
                  <c:v>42058</c:v>
                </c:pt>
                <c:pt idx="288">
                  <c:v>42059</c:v>
                </c:pt>
                <c:pt idx="289">
                  <c:v>42060</c:v>
                </c:pt>
                <c:pt idx="290">
                  <c:v>42061</c:v>
                </c:pt>
                <c:pt idx="291">
                  <c:v>42062</c:v>
                </c:pt>
                <c:pt idx="292">
                  <c:v>42065</c:v>
                </c:pt>
                <c:pt idx="293">
                  <c:v>42066</c:v>
                </c:pt>
                <c:pt idx="294">
                  <c:v>42067</c:v>
                </c:pt>
                <c:pt idx="295">
                  <c:v>42068</c:v>
                </c:pt>
                <c:pt idx="296">
                  <c:v>42069</c:v>
                </c:pt>
                <c:pt idx="297">
                  <c:v>42072</c:v>
                </c:pt>
                <c:pt idx="298">
                  <c:v>42073</c:v>
                </c:pt>
                <c:pt idx="299">
                  <c:v>42074</c:v>
                </c:pt>
                <c:pt idx="300">
                  <c:v>42075</c:v>
                </c:pt>
                <c:pt idx="301">
                  <c:v>42076</c:v>
                </c:pt>
                <c:pt idx="302">
                  <c:v>42079</c:v>
                </c:pt>
                <c:pt idx="303">
                  <c:v>42080</c:v>
                </c:pt>
                <c:pt idx="304">
                  <c:v>42081</c:v>
                </c:pt>
                <c:pt idx="305">
                  <c:v>42082</c:v>
                </c:pt>
                <c:pt idx="306">
                  <c:v>42083</c:v>
                </c:pt>
                <c:pt idx="307">
                  <c:v>42086</c:v>
                </c:pt>
                <c:pt idx="308">
                  <c:v>42087</c:v>
                </c:pt>
                <c:pt idx="309">
                  <c:v>42088</c:v>
                </c:pt>
                <c:pt idx="310">
                  <c:v>42089</c:v>
                </c:pt>
                <c:pt idx="311">
                  <c:v>42090</c:v>
                </c:pt>
                <c:pt idx="312">
                  <c:v>42093</c:v>
                </c:pt>
                <c:pt idx="313">
                  <c:v>42094</c:v>
                </c:pt>
                <c:pt idx="314">
                  <c:v>42095</c:v>
                </c:pt>
                <c:pt idx="315">
                  <c:v>42096</c:v>
                </c:pt>
                <c:pt idx="316">
                  <c:v>42097</c:v>
                </c:pt>
                <c:pt idx="317">
                  <c:v>42100</c:v>
                </c:pt>
                <c:pt idx="318">
                  <c:v>42101</c:v>
                </c:pt>
                <c:pt idx="319">
                  <c:v>42102</c:v>
                </c:pt>
                <c:pt idx="320">
                  <c:v>42103</c:v>
                </c:pt>
                <c:pt idx="321">
                  <c:v>42104</c:v>
                </c:pt>
                <c:pt idx="322">
                  <c:v>42107</c:v>
                </c:pt>
                <c:pt idx="323">
                  <c:v>42108</c:v>
                </c:pt>
                <c:pt idx="324">
                  <c:v>42109</c:v>
                </c:pt>
                <c:pt idx="325">
                  <c:v>42110</c:v>
                </c:pt>
                <c:pt idx="326">
                  <c:v>42111</c:v>
                </c:pt>
                <c:pt idx="327">
                  <c:v>42114</c:v>
                </c:pt>
                <c:pt idx="328">
                  <c:v>42115</c:v>
                </c:pt>
                <c:pt idx="329">
                  <c:v>42116</c:v>
                </c:pt>
                <c:pt idx="330">
                  <c:v>42117</c:v>
                </c:pt>
                <c:pt idx="331">
                  <c:v>42118</c:v>
                </c:pt>
                <c:pt idx="332">
                  <c:v>42121</c:v>
                </c:pt>
                <c:pt idx="333">
                  <c:v>42122</c:v>
                </c:pt>
                <c:pt idx="334">
                  <c:v>42123</c:v>
                </c:pt>
                <c:pt idx="335">
                  <c:v>42124</c:v>
                </c:pt>
                <c:pt idx="336">
                  <c:v>42125</c:v>
                </c:pt>
                <c:pt idx="337">
                  <c:v>42128</c:v>
                </c:pt>
                <c:pt idx="338">
                  <c:v>42129</c:v>
                </c:pt>
                <c:pt idx="339">
                  <c:v>42130</c:v>
                </c:pt>
                <c:pt idx="340">
                  <c:v>42131</c:v>
                </c:pt>
                <c:pt idx="341">
                  <c:v>42132</c:v>
                </c:pt>
                <c:pt idx="342">
                  <c:v>42135</c:v>
                </c:pt>
                <c:pt idx="343">
                  <c:v>42136</c:v>
                </c:pt>
                <c:pt idx="344">
                  <c:v>42137</c:v>
                </c:pt>
                <c:pt idx="345">
                  <c:v>42138</c:v>
                </c:pt>
                <c:pt idx="346">
                  <c:v>42139</c:v>
                </c:pt>
                <c:pt idx="347">
                  <c:v>42142</c:v>
                </c:pt>
                <c:pt idx="348">
                  <c:v>42143</c:v>
                </c:pt>
                <c:pt idx="349">
                  <c:v>42144</c:v>
                </c:pt>
                <c:pt idx="350">
                  <c:v>42145</c:v>
                </c:pt>
                <c:pt idx="351">
                  <c:v>42146</c:v>
                </c:pt>
                <c:pt idx="352">
                  <c:v>42149</c:v>
                </c:pt>
                <c:pt idx="353">
                  <c:v>42150</c:v>
                </c:pt>
                <c:pt idx="354">
                  <c:v>42151</c:v>
                </c:pt>
                <c:pt idx="355">
                  <c:v>42152</c:v>
                </c:pt>
                <c:pt idx="356">
                  <c:v>42153</c:v>
                </c:pt>
                <c:pt idx="357">
                  <c:v>42156</c:v>
                </c:pt>
                <c:pt idx="358">
                  <c:v>42157</c:v>
                </c:pt>
                <c:pt idx="359">
                  <c:v>42158</c:v>
                </c:pt>
                <c:pt idx="360">
                  <c:v>42159</c:v>
                </c:pt>
                <c:pt idx="361">
                  <c:v>42160</c:v>
                </c:pt>
                <c:pt idx="362">
                  <c:v>42163</c:v>
                </c:pt>
                <c:pt idx="363">
                  <c:v>42164</c:v>
                </c:pt>
                <c:pt idx="364">
                  <c:v>42165</c:v>
                </c:pt>
                <c:pt idx="365">
                  <c:v>42166</c:v>
                </c:pt>
                <c:pt idx="366">
                  <c:v>42167</c:v>
                </c:pt>
                <c:pt idx="367">
                  <c:v>42170</c:v>
                </c:pt>
                <c:pt idx="368">
                  <c:v>42171</c:v>
                </c:pt>
                <c:pt idx="369">
                  <c:v>42172</c:v>
                </c:pt>
                <c:pt idx="370">
                  <c:v>42173</c:v>
                </c:pt>
                <c:pt idx="371">
                  <c:v>42174</c:v>
                </c:pt>
                <c:pt idx="372">
                  <c:v>42177</c:v>
                </c:pt>
                <c:pt idx="373">
                  <c:v>42178</c:v>
                </c:pt>
                <c:pt idx="374">
                  <c:v>42179</c:v>
                </c:pt>
                <c:pt idx="375">
                  <c:v>42180</c:v>
                </c:pt>
                <c:pt idx="376">
                  <c:v>42181</c:v>
                </c:pt>
                <c:pt idx="377">
                  <c:v>42184</c:v>
                </c:pt>
                <c:pt idx="378">
                  <c:v>42185</c:v>
                </c:pt>
                <c:pt idx="379">
                  <c:v>42186</c:v>
                </c:pt>
                <c:pt idx="380">
                  <c:v>42187</c:v>
                </c:pt>
                <c:pt idx="381">
                  <c:v>42188</c:v>
                </c:pt>
                <c:pt idx="382">
                  <c:v>42191</c:v>
                </c:pt>
                <c:pt idx="383">
                  <c:v>42192</c:v>
                </c:pt>
                <c:pt idx="384">
                  <c:v>42193</c:v>
                </c:pt>
                <c:pt idx="385">
                  <c:v>42194</c:v>
                </c:pt>
                <c:pt idx="386">
                  <c:v>42195</c:v>
                </c:pt>
                <c:pt idx="387">
                  <c:v>42198</c:v>
                </c:pt>
                <c:pt idx="388">
                  <c:v>42199</c:v>
                </c:pt>
                <c:pt idx="389">
                  <c:v>42200</c:v>
                </c:pt>
                <c:pt idx="390">
                  <c:v>42201</c:v>
                </c:pt>
                <c:pt idx="391">
                  <c:v>42202</c:v>
                </c:pt>
                <c:pt idx="392">
                  <c:v>42205</c:v>
                </c:pt>
                <c:pt idx="393">
                  <c:v>42206</c:v>
                </c:pt>
                <c:pt idx="394">
                  <c:v>42207</c:v>
                </c:pt>
                <c:pt idx="395">
                  <c:v>42208</c:v>
                </c:pt>
                <c:pt idx="396">
                  <c:v>42209</c:v>
                </c:pt>
                <c:pt idx="397">
                  <c:v>42212</c:v>
                </c:pt>
                <c:pt idx="398">
                  <c:v>42213</c:v>
                </c:pt>
                <c:pt idx="399">
                  <c:v>42214</c:v>
                </c:pt>
                <c:pt idx="400">
                  <c:v>42215</c:v>
                </c:pt>
                <c:pt idx="401">
                  <c:v>42216</c:v>
                </c:pt>
                <c:pt idx="402">
                  <c:v>42219</c:v>
                </c:pt>
                <c:pt idx="403">
                  <c:v>42220</c:v>
                </c:pt>
                <c:pt idx="404">
                  <c:v>42221</c:v>
                </c:pt>
                <c:pt idx="405">
                  <c:v>42222</c:v>
                </c:pt>
                <c:pt idx="406">
                  <c:v>42223</c:v>
                </c:pt>
                <c:pt idx="407">
                  <c:v>42226</c:v>
                </c:pt>
                <c:pt idx="408">
                  <c:v>42227</c:v>
                </c:pt>
                <c:pt idx="409">
                  <c:v>42228</c:v>
                </c:pt>
                <c:pt idx="410">
                  <c:v>42229</c:v>
                </c:pt>
                <c:pt idx="411">
                  <c:v>42230</c:v>
                </c:pt>
                <c:pt idx="412">
                  <c:v>42233</c:v>
                </c:pt>
                <c:pt idx="413">
                  <c:v>42234</c:v>
                </c:pt>
                <c:pt idx="414">
                  <c:v>42235</c:v>
                </c:pt>
                <c:pt idx="415">
                  <c:v>42236</c:v>
                </c:pt>
                <c:pt idx="416">
                  <c:v>42237</c:v>
                </c:pt>
                <c:pt idx="417">
                  <c:v>42240</c:v>
                </c:pt>
                <c:pt idx="418">
                  <c:v>42241</c:v>
                </c:pt>
                <c:pt idx="419">
                  <c:v>42242</c:v>
                </c:pt>
                <c:pt idx="420">
                  <c:v>42243</c:v>
                </c:pt>
                <c:pt idx="421">
                  <c:v>42244</c:v>
                </c:pt>
                <c:pt idx="422">
                  <c:v>42247</c:v>
                </c:pt>
                <c:pt idx="423">
                  <c:v>42248</c:v>
                </c:pt>
                <c:pt idx="424">
                  <c:v>42249</c:v>
                </c:pt>
                <c:pt idx="425">
                  <c:v>42250</c:v>
                </c:pt>
                <c:pt idx="426">
                  <c:v>42251</c:v>
                </c:pt>
                <c:pt idx="427">
                  <c:v>42255</c:v>
                </c:pt>
                <c:pt idx="428">
                  <c:v>42256</c:v>
                </c:pt>
                <c:pt idx="429">
                  <c:v>42257</c:v>
                </c:pt>
                <c:pt idx="430">
                  <c:v>42258</c:v>
                </c:pt>
                <c:pt idx="431">
                  <c:v>42261</c:v>
                </c:pt>
                <c:pt idx="432">
                  <c:v>42262</c:v>
                </c:pt>
                <c:pt idx="433">
                  <c:v>42263</c:v>
                </c:pt>
                <c:pt idx="434">
                  <c:v>42264</c:v>
                </c:pt>
                <c:pt idx="435">
                  <c:v>42265</c:v>
                </c:pt>
                <c:pt idx="436">
                  <c:v>42268</c:v>
                </c:pt>
                <c:pt idx="437">
                  <c:v>42269</c:v>
                </c:pt>
                <c:pt idx="438">
                  <c:v>42270</c:v>
                </c:pt>
                <c:pt idx="439">
                  <c:v>42271</c:v>
                </c:pt>
                <c:pt idx="440">
                  <c:v>42272</c:v>
                </c:pt>
                <c:pt idx="441">
                  <c:v>42275</c:v>
                </c:pt>
                <c:pt idx="442">
                  <c:v>42276</c:v>
                </c:pt>
                <c:pt idx="443">
                  <c:v>42277</c:v>
                </c:pt>
                <c:pt idx="444">
                  <c:v>42278</c:v>
                </c:pt>
                <c:pt idx="445">
                  <c:v>42279</c:v>
                </c:pt>
                <c:pt idx="446">
                  <c:v>42282</c:v>
                </c:pt>
                <c:pt idx="447">
                  <c:v>42283</c:v>
                </c:pt>
                <c:pt idx="448">
                  <c:v>42284</c:v>
                </c:pt>
                <c:pt idx="449">
                  <c:v>42285</c:v>
                </c:pt>
                <c:pt idx="450">
                  <c:v>42286</c:v>
                </c:pt>
                <c:pt idx="451">
                  <c:v>42289</c:v>
                </c:pt>
                <c:pt idx="452">
                  <c:v>42290</c:v>
                </c:pt>
                <c:pt idx="453">
                  <c:v>42291</c:v>
                </c:pt>
                <c:pt idx="454">
                  <c:v>42292</c:v>
                </c:pt>
                <c:pt idx="455">
                  <c:v>42293</c:v>
                </c:pt>
                <c:pt idx="456">
                  <c:v>42296</c:v>
                </c:pt>
                <c:pt idx="457">
                  <c:v>42297</c:v>
                </c:pt>
                <c:pt idx="458">
                  <c:v>42298</c:v>
                </c:pt>
                <c:pt idx="459">
                  <c:v>42299</c:v>
                </c:pt>
                <c:pt idx="460">
                  <c:v>42300</c:v>
                </c:pt>
                <c:pt idx="461">
                  <c:v>42303</c:v>
                </c:pt>
                <c:pt idx="462">
                  <c:v>42304</c:v>
                </c:pt>
                <c:pt idx="463">
                  <c:v>42305</c:v>
                </c:pt>
                <c:pt idx="464">
                  <c:v>42306</c:v>
                </c:pt>
                <c:pt idx="465">
                  <c:v>42307</c:v>
                </c:pt>
                <c:pt idx="466">
                  <c:v>42310</c:v>
                </c:pt>
                <c:pt idx="467">
                  <c:v>42311</c:v>
                </c:pt>
                <c:pt idx="468">
                  <c:v>42312</c:v>
                </c:pt>
                <c:pt idx="469">
                  <c:v>42313</c:v>
                </c:pt>
                <c:pt idx="470">
                  <c:v>42314</c:v>
                </c:pt>
                <c:pt idx="471">
                  <c:v>42317</c:v>
                </c:pt>
                <c:pt idx="472">
                  <c:v>42318</c:v>
                </c:pt>
                <c:pt idx="473">
                  <c:v>42319</c:v>
                </c:pt>
                <c:pt idx="474">
                  <c:v>42320</c:v>
                </c:pt>
                <c:pt idx="475">
                  <c:v>42321</c:v>
                </c:pt>
                <c:pt idx="476">
                  <c:v>42324</c:v>
                </c:pt>
                <c:pt idx="477">
                  <c:v>42325</c:v>
                </c:pt>
                <c:pt idx="478">
                  <c:v>42326</c:v>
                </c:pt>
                <c:pt idx="479">
                  <c:v>42327</c:v>
                </c:pt>
                <c:pt idx="480">
                  <c:v>42328</c:v>
                </c:pt>
                <c:pt idx="481">
                  <c:v>42331</c:v>
                </c:pt>
                <c:pt idx="482">
                  <c:v>42332</c:v>
                </c:pt>
                <c:pt idx="483">
                  <c:v>42333</c:v>
                </c:pt>
                <c:pt idx="484">
                  <c:v>42334</c:v>
                </c:pt>
                <c:pt idx="485">
                  <c:v>42335</c:v>
                </c:pt>
                <c:pt idx="486">
                  <c:v>42338</c:v>
                </c:pt>
                <c:pt idx="487">
                  <c:v>42339</c:v>
                </c:pt>
                <c:pt idx="488">
                  <c:v>42340</c:v>
                </c:pt>
                <c:pt idx="489">
                  <c:v>42341</c:v>
                </c:pt>
                <c:pt idx="490">
                  <c:v>42342</c:v>
                </c:pt>
                <c:pt idx="491">
                  <c:v>42345</c:v>
                </c:pt>
                <c:pt idx="492">
                  <c:v>42346</c:v>
                </c:pt>
                <c:pt idx="493">
                  <c:v>42347</c:v>
                </c:pt>
                <c:pt idx="494">
                  <c:v>42348</c:v>
                </c:pt>
                <c:pt idx="495">
                  <c:v>42349</c:v>
                </c:pt>
                <c:pt idx="496">
                  <c:v>42352</c:v>
                </c:pt>
                <c:pt idx="497">
                  <c:v>42353</c:v>
                </c:pt>
                <c:pt idx="498">
                  <c:v>42354</c:v>
                </c:pt>
                <c:pt idx="499">
                  <c:v>42355</c:v>
                </c:pt>
                <c:pt idx="500">
                  <c:v>42356</c:v>
                </c:pt>
                <c:pt idx="501">
                  <c:v>42359</c:v>
                </c:pt>
                <c:pt idx="502">
                  <c:v>42360</c:v>
                </c:pt>
                <c:pt idx="503">
                  <c:v>42361</c:v>
                </c:pt>
                <c:pt idx="504">
                  <c:v>42362</c:v>
                </c:pt>
                <c:pt idx="505">
                  <c:v>42366</c:v>
                </c:pt>
              </c:numCache>
            </c:numRef>
          </c:cat>
          <c:val>
            <c:numRef>
              <c:f>'WTI Analysis'!$B$2:$B$507</c:f>
              <c:numCache>
                <c:formatCode>General</c:formatCode>
                <c:ptCount val="506"/>
                <c:pt idx="0">
                  <c:v>95.14</c:v>
                </c:pt>
                <c:pt idx="1">
                  <c:v>93.66</c:v>
                </c:pt>
                <c:pt idx="2">
                  <c:v>93.12</c:v>
                </c:pt>
                <c:pt idx="3">
                  <c:v>93.31</c:v>
                </c:pt>
                <c:pt idx="4">
                  <c:v>91.9</c:v>
                </c:pt>
                <c:pt idx="5">
                  <c:v>91.36</c:v>
                </c:pt>
                <c:pt idx="6">
                  <c:v>92.39</c:v>
                </c:pt>
                <c:pt idx="7">
                  <c:v>91.45</c:v>
                </c:pt>
                <c:pt idx="8">
                  <c:v>92.15</c:v>
                </c:pt>
                <c:pt idx="9">
                  <c:v>93.78</c:v>
                </c:pt>
                <c:pt idx="10">
                  <c:v>93.54</c:v>
                </c:pt>
                <c:pt idx="11">
                  <c:v>93.96</c:v>
                </c:pt>
                <c:pt idx="12">
                  <c:v>94.51</c:v>
                </c:pt>
                <c:pt idx="13">
                  <c:v>96.35</c:v>
                </c:pt>
                <c:pt idx="14">
                  <c:v>97.23</c:v>
                </c:pt>
                <c:pt idx="15">
                  <c:v>96.66</c:v>
                </c:pt>
                <c:pt idx="16">
                  <c:v>95.82</c:v>
                </c:pt>
                <c:pt idx="17">
                  <c:v>97.49</c:v>
                </c:pt>
                <c:pt idx="18">
                  <c:v>97.34</c:v>
                </c:pt>
                <c:pt idx="19">
                  <c:v>98.25</c:v>
                </c:pt>
                <c:pt idx="20">
                  <c:v>97.55</c:v>
                </c:pt>
                <c:pt idx="21">
                  <c:v>96.44</c:v>
                </c:pt>
                <c:pt idx="22">
                  <c:v>97.24</c:v>
                </c:pt>
                <c:pt idx="23">
                  <c:v>97.4</c:v>
                </c:pt>
                <c:pt idx="24">
                  <c:v>97.84</c:v>
                </c:pt>
                <c:pt idx="25">
                  <c:v>99.98</c:v>
                </c:pt>
                <c:pt idx="26">
                  <c:v>100.12</c:v>
                </c:pt>
                <c:pt idx="27">
                  <c:v>99.96</c:v>
                </c:pt>
                <c:pt idx="28">
                  <c:v>100.38</c:v>
                </c:pt>
                <c:pt idx="29">
                  <c:v>100.27</c:v>
                </c:pt>
                <c:pt idx="30">
                  <c:v>100.31</c:v>
                </c:pt>
                <c:pt idx="31">
                  <c:v>102.54</c:v>
                </c:pt>
                <c:pt idx="32">
                  <c:v>103.46</c:v>
                </c:pt>
                <c:pt idx="33">
                  <c:v>103.2</c:v>
                </c:pt>
                <c:pt idx="34">
                  <c:v>102.53</c:v>
                </c:pt>
                <c:pt idx="35">
                  <c:v>103.17</c:v>
                </c:pt>
                <c:pt idx="36">
                  <c:v>102.2</c:v>
                </c:pt>
                <c:pt idx="37">
                  <c:v>102.93</c:v>
                </c:pt>
                <c:pt idx="38">
                  <c:v>102.68</c:v>
                </c:pt>
                <c:pt idx="39">
                  <c:v>102.88</c:v>
                </c:pt>
                <c:pt idx="40">
                  <c:v>105.34</c:v>
                </c:pt>
                <c:pt idx="41">
                  <c:v>103.64</c:v>
                </c:pt>
                <c:pt idx="42">
                  <c:v>101.75</c:v>
                </c:pt>
                <c:pt idx="43">
                  <c:v>101.82</c:v>
                </c:pt>
                <c:pt idx="44">
                  <c:v>102.82</c:v>
                </c:pt>
                <c:pt idx="45">
                  <c:v>101.39</c:v>
                </c:pt>
                <c:pt idx="46">
                  <c:v>100.29</c:v>
                </c:pt>
                <c:pt idx="47">
                  <c:v>98.29</c:v>
                </c:pt>
                <c:pt idx="48">
                  <c:v>98.57</c:v>
                </c:pt>
                <c:pt idx="49">
                  <c:v>99.23</c:v>
                </c:pt>
                <c:pt idx="50">
                  <c:v>98.43</c:v>
                </c:pt>
                <c:pt idx="51">
                  <c:v>100.08</c:v>
                </c:pt>
                <c:pt idx="52">
                  <c:v>100.71</c:v>
                </c:pt>
                <c:pt idx="53">
                  <c:v>99.68</c:v>
                </c:pt>
                <c:pt idx="54">
                  <c:v>99.97</c:v>
                </c:pt>
                <c:pt idx="55">
                  <c:v>100.05</c:v>
                </c:pt>
                <c:pt idx="56">
                  <c:v>99.66</c:v>
                </c:pt>
                <c:pt idx="57">
                  <c:v>100.61</c:v>
                </c:pt>
                <c:pt idx="58">
                  <c:v>101.25</c:v>
                </c:pt>
                <c:pt idx="59">
                  <c:v>101.73</c:v>
                </c:pt>
                <c:pt idx="60">
                  <c:v>101.57</c:v>
                </c:pt>
                <c:pt idx="61">
                  <c:v>99.69</c:v>
                </c:pt>
                <c:pt idx="62">
                  <c:v>99.6</c:v>
                </c:pt>
                <c:pt idx="63">
                  <c:v>100.29</c:v>
                </c:pt>
                <c:pt idx="64">
                  <c:v>101.16</c:v>
                </c:pt>
                <c:pt idx="65">
                  <c:v>100.43</c:v>
                </c:pt>
                <c:pt idx="66">
                  <c:v>102.57</c:v>
                </c:pt>
                <c:pt idx="67">
                  <c:v>103.55</c:v>
                </c:pt>
                <c:pt idx="68">
                  <c:v>103.37</c:v>
                </c:pt>
                <c:pt idx="69">
                  <c:v>103.68</c:v>
                </c:pt>
                <c:pt idx="70">
                  <c:v>104.05</c:v>
                </c:pt>
                <c:pt idx="71">
                  <c:v>103.7</c:v>
                </c:pt>
                <c:pt idx="72">
                  <c:v>103.71</c:v>
                </c:pt>
                <c:pt idx="73">
                  <c:v>104.33</c:v>
                </c:pt>
                <c:pt idx="74">
                  <c:v>104.35</c:v>
                </c:pt>
                <c:pt idx="75">
                  <c:v>101.69</c:v>
                </c:pt>
                <c:pt idx="76">
                  <c:v>101.47</c:v>
                </c:pt>
                <c:pt idx="77">
                  <c:v>102.2</c:v>
                </c:pt>
                <c:pt idx="78">
                  <c:v>100.85</c:v>
                </c:pt>
                <c:pt idx="79">
                  <c:v>101.13</c:v>
                </c:pt>
                <c:pt idx="80">
                  <c:v>101.56</c:v>
                </c:pt>
                <c:pt idx="81">
                  <c:v>100.07</c:v>
                </c:pt>
                <c:pt idx="82">
                  <c:v>99.69</c:v>
                </c:pt>
                <c:pt idx="83">
                  <c:v>100.09</c:v>
                </c:pt>
                <c:pt idx="84">
                  <c:v>99.74</c:v>
                </c:pt>
                <c:pt idx="85">
                  <c:v>99.81</c:v>
                </c:pt>
                <c:pt idx="86">
                  <c:v>101.06</c:v>
                </c:pt>
                <c:pt idx="87">
                  <c:v>100.52</c:v>
                </c:pt>
                <c:pt idx="88">
                  <c:v>100.32</c:v>
                </c:pt>
                <c:pt idx="89">
                  <c:v>100.89</c:v>
                </c:pt>
                <c:pt idx="90">
                  <c:v>102.01</c:v>
                </c:pt>
                <c:pt idx="91">
                  <c:v>102.63</c:v>
                </c:pt>
                <c:pt idx="92">
                  <c:v>101.74</c:v>
                </c:pt>
                <c:pt idx="93">
                  <c:v>102.31</c:v>
                </c:pt>
                <c:pt idx="94">
                  <c:v>102.95</c:v>
                </c:pt>
                <c:pt idx="95">
                  <c:v>102.8</c:v>
                </c:pt>
                <c:pt idx="96">
                  <c:v>104.31</c:v>
                </c:pt>
                <c:pt idx="97">
                  <c:v>104.03</c:v>
                </c:pt>
                <c:pt idx="98">
                  <c:v>105.01</c:v>
                </c:pt>
                <c:pt idx="99">
                  <c:v>104.78</c:v>
                </c:pt>
                <c:pt idx="100">
                  <c:v>103.37</c:v>
                </c:pt>
                <c:pt idx="101">
                  <c:v>104.26</c:v>
                </c:pt>
                <c:pt idx="102">
                  <c:v>103.4</c:v>
                </c:pt>
                <c:pt idx="103">
                  <c:v>103.07</c:v>
                </c:pt>
                <c:pt idx="104">
                  <c:v>103.34</c:v>
                </c:pt>
                <c:pt idx="105">
                  <c:v>103.27</c:v>
                </c:pt>
                <c:pt idx="106">
                  <c:v>103.17</c:v>
                </c:pt>
                <c:pt idx="107">
                  <c:v>103.32</c:v>
                </c:pt>
                <c:pt idx="108">
                  <c:v>105.09</c:v>
                </c:pt>
                <c:pt idx="109">
                  <c:v>105.02</c:v>
                </c:pt>
                <c:pt idx="110">
                  <c:v>105.04</c:v>
                </c:pt>
                <c:pt idx="111">
                  <c:v>107.2</c:v>
                </c:pt>
                <c:pt idx="112">
                  <c:v>107.49</c:v>
                </c:pt>
                <c:pt idx="113">
                  <c:v>107.52</c:v>
                </c:pt>
                <c:pt idx="114">
                  <c:v>106.95</c:v>
                </c:pt>
                <c:pt idx="115">
                  <c:v>106.64</c:v>
                </c:pt>
                <c:pt idx="116">
                  <c:v>107.08</c:v>
                </c:pt>
                <c:pt idx="117">
                  <c:v>107.95</c:v>
                </c:pt>
                <c:pt idx="118">
                  <c:v>106.83</c:v>
                </c:pt>
                <c:pt idx="119">
                  <c:v>106.64</c:v>
                </c:pt>
                <c:pt idx="120">
                  <c:v>107.04</c:v>
                </c:pt>
                <c:pt idx="121">
                  <c:v>106.49</c:v>
                </c:pt>
                <c:pt idx="122">
                  <c:v>106.46</c:v>
                </c:pt>
                <c:pt idx="123">
                  <c:v>106.07</c:v>
                </c:pt>
                <c:pt idx="124">
                  <c:v>106.06</c:v>
                </c:pt>
                <c:pt idx="125">
                  <c:v>105.18</c:v>
                </c:pt>
                <c:pt idx="126">
                  <c:v>104.76</c:v>
                </c:pt>
                <c:pt idx="127">
                  <c:v>104.19</c:v>
                </c:pt>
                <c:pt idx="128">
                  <c:v>104.06</c:v>
                </c:pt>
                <c:pt idx="129">
                  <c:v>102.93</c:v>
                </c:pt>
                <c:pt idx="130">
                  <c:v>103.61</c:v>
                </c:pt>
                <c:pt idx="131">
                  <c:v>101.48</c:v>
                </c:pt>
                <c:pt idx="132">
                  <c:v>101.73</c:v>
                </c:pt>
                <c:pt idx="133">
                  <c:v>100.56</c:v>
                </c:pt>
                <c:pt idx="134">
                  <c:v>101.88</c:v>
                </c:pt>
                <c:pt idx="135">
                  <c:v>103.84</c:v>
                </c:pt>
                <c:pt idx="136">
                  <c:v>103.83</c:v>
                </c:pt>
                <c:pt idx="137">
                  <c:v>105.34</c:v>
                </c:pt>
                <c:pt idx="138">
                  <c:v>104.59</c:v>
                </c:pt>
                <c:pt idx="139">
                  <c:v>103.81</c:v>
                </c:pt>
                <c:pt idx="140">
                  <c:v>102.76</c:v>
                </c:pt>
                <c:pt idx="141">
                  <c:v>105.23</c:v>
                </c:pt>
                <c:pt idx="142">
                  <c:v>105.68</c:v>
                </c:pt>
                <c:pt idx="143">
                  <c:v>104.91</c:v>
                </c:pt>
                <c:pt idx="144">
                  <c:v>104.29</c:v>
                </c:pt>
                <c:pt idx="145">
                  <c:v>98.23</c:v>
                </c:pt>
                <c:pt idx="146">
                  <c:v>97.86</c:v>
                </c:pt>
                <c:pt idx="147">
                  <c:v>98.26</c:v>
                </c:pt>
                <c:pt idx="148">
                  <c:v>97.34</c:v>
                </c:pt>
                <c:pt idx="149">
                  <c:v>96.93</c:v>
                </c:pt>
                <c:pt idx="150">
                  <c:v>97.34</c:v>
                </c:pt>
                <c:pt idx="151">
                  <c:v>97.61</c:v>
                </c:pt>
                <c:pt idx="152">
                  <c:v>98.09</c:v>
                </c:pt>
                <c:pt idx="153">
                  <c:v>97.36</c:v>
                </c:pt>
                <c:pt idx="154">
                  <c:v>97.57</c:v>
                </c:pt>
                <c:pt idx="155">
                  <c:v>95.54</c:v>
                </c:pt>
                <c:pt idx="156">
                  <c:v>97.3</c:v>
                </c:pt>
                <c:pt idx="157">
                  <c:v>96.44</c:v>
                </c:pt>
                <c:pt idx="158">
                  <c:v>94.35</c:v>
                </c:pt>
                <c:pt idx="159">
                  <c:v>96.4</c:v>
                </c:pt>
                <c:pt idx="160">
                  <c:v>93.97</c:v>
                </c:pt>
                <c:pt idx="161">
                  <c:v>93.61</c:v>
                </c:pt>
                <c:pt idx="162">
                  <c:v>95.39</c:v>
                </c:pt>
                <c:pt idx="163">
                  <c:v>95.78</c:v>
                </c:pt>
                <c:pt idx="164">
                  <c:v>95.82</c:v>
                </c:pt>
                <c:pt idx="165">
                  <c:v>96.44</c:v>
                </c:pt>
                <c:pt idx="166">
                  <c:v>97.86</c:v>
                </c:pt>
                <c:pt idx="167">
                  <c:v>92.92</c:v>
                </c:pt>
                <c:pt idx="168">
                  <c:v>95.5</c:v>
                </c:pt>
                <c:pt idx="169">
                  <c:v>94.51</c:v>
                </c:pt>
                <c:pt idx="170">
                  <c:v>93.32</c:v>
                </c:pt>
                <c:pt idx="171">
                  <c:v>92.64</c:v>
                </c:pt>
                <c:pt idx="172">
                  <c:v>92.73</c:v>
                </c:pt>
                <c:pt idx="173">
                  <c:v>91.71</c:v>
                </c:pt>
                <c:pt idx="174">
                  <c:v>92.89</c:v>
                </c:pt>
                <c:pt idx="175">
                  <c:v>92.18</c:v>
                </c:pt>
                <c:pt idx="176">
                  <c:v>92.86</c:v>
                </c:pt>
                <c:pt idx="177">
                  <c:v>94.91</c:v>
                </c:pt>
                <c:pt idx="178">
                  <c:v>94.33</c:v>
                </c:pt>
                <c:pt idx="179">
                  <c:v>93.07</c:v>
                </c:pt>
                <c:pt idx="180">
                  <c:v>92.43</c:v>
                </c:pt>
                <c:pt idx="181">
                  <c:v>91.46</c:v>
                </c:pt>
                <c:pt idx="182">
                  <c:v>91.55</c:v>
                </c:pt>
                <c:pt idx="183">
                  <c:v>93.6</c:v>
                </c:pt>
                <c:pt idx="184">
                  <c:v>93.59</c:v>
                </c:pt>
                <c:pt idx="185">
                  <c:v>95.55</c:v>
                </c:pt>
                <c:pt idx="186">
                  <c:v>94.53</c:v>
                </c:pt>
                <c:pt idx="187">
                  <c:v>91.17</c:v>
                </c:pt>
                <c:pt idx="188">
                  <c:v>90.74</c:v>
                </c:pt>
                <c:pt idx="189">
                  <c:v>91.02</c:v>
                </c:pt>
                <c:pt idx="190">
                  <c:v>89.76</c:v>
                </c:pt>
                <c:pt idx="191">
                  <c:v>90.33</c:v>
                </c:pt>
                <c:pt idx="192">
                  <c:v>88.89</c:v>
                </c:pt>
                <c:pt idx="193">
                  <c:v>87.29</c:v>
                </c:pt>
                <c:pt idx="194">
                  <c:v>85.76</c:v>
                </c:pt>
                <c:pt idx="195">
                  <c:v>85.87</c:v>
                </c:pt>
                <c:pt idx="196">
                  <c:v>85.73</c:v>
                </c:pt>
                <c:pt idx="197">
                  <c:v>81.72</c:v>
                </c:pt>
                <c:pt idx="198">
                  <c:v>81.819999999999993</c:v>
                </c:pt>
                <c:pt idx="199">
                  <c:v>82.33</c:v>
                </c:pt>
                <c:pt idx="200">
                  <c:v>82.8</c:v>
                </c:pt>
                <c:pt idx="201">
                  <c:v>82.76</c:v>
                </c:pt>
                <c:pt idx="202">
                  <c:v>83.25</c:v>
                </c:pt>
                <c:pt idx="203">
                  <c:v>80.52</c:v>
                </c:pt>
                <c:pt idx="204">
                  <c:v>82.81</c:v>
                </c:pt>
                <c:pt idx="205">
                  <c:v>81.27</c:v>
                </c:pt>
                <c:pt idx="206">
                  <c:v>81.260000000000005</c:v>
                </c:pt>
                <c:pt idx="207">
                  <c:v>81.36</c:v>
                </c:pt>
                <c:pt idx="208">
                  <c:v>82.25</c:v>
                </c:pt>
                <c:pt idx="209">
                  <c:v>81.06</c:v>
                </c:pt>
                <c:pt idx="210">
                  <c:v>80.53</c:v>
                </c:pt>
                <c:pt idx="211">
                  <c:v>78.77</c:v>
                </c:pt>
                <c:pt idx="212">
                  <c:v>77.150000000000006</c:v>
                </c:pt>
                <c:pt idx="213">
                  <c:v>78.709999999999994</c:v>
                </c:pt>
                <c:pt idx="214">
                  <c:v>77.87</c:v>
                </c:pt>
                <c:pt idx="215">
                  <c:v>78.709999999999994</c:v>
                </c:pt>
                <c:pt idx="216">
                  <c:v>77.430000000000007</c:v>
                </c:pt>
                <c:pt idx="217">
                  <c:v>77.849999999999994</c:v>
                </c:pt>
                <c:pt idx="218">
                  <c:v>77.16</c:v>
                </c:pt>
                <c:pt idx="219">
                  <c:v>74.13</c:v>
                </c:pt>
                <c:pt idx="220">
                  <c:v>75.91</c:v>
                </c:pt>
                <c:pt idx="221">
                  <c:v>75.64</c:v>
                </c:pt>
                <c:pt idx="222">
                  <c:v>74.55</c:v>
                </c:pt>
                <c:pt idx="223">
                  <c:v>74.55</c:v>
                </c:pt>
                <c:pt idx="224">
                  <c:v>75.63</c:v>
                </c:pt>
                <c:pt idx="225">
                  <c:v>76.52</c:v>
                </c:pt>
                <c:pt idx="226">
                  <c:v>75.739999999999995</c:v>
                </c:pt>
                <c:pt idx="227">
                  <c:v>74.040000000000006</c:v>
                </c:pt>
                <c:pt idx="228">
                  <c:v>73.7</c:v>
                </c:pt>
                <c:pt idx="229">
                  <c:v>65.94</c:v>
                </c:pt>
                <c:pt idx="230">
                  <c:v>68.98</c:v>
                </c:pt>
                <c:pt idx="231">
                  <c:v>66.989999999999995</c:v>
                </c:pt>
                <c:pt idx="232">
                  <c:v>67.3</c:v>
                </c:pt>
                <c:pt idx="233">
                  <c:v>66.73</c:v>
                </c:pt>
                <c:pt idx="234">
                  <c:v>65.89</c:v>
                </c:pt>
                <c:pt idx="235">
                  <c:v>63.13</c:v>
                </c:pt>
                <c:pt idx="236">
                  <c:v>63.74</c:v>
                </c:pt>
                <c:pt idx="237">
                  <c:v>60.99</c:v>
                </c:pt>
                <c:pt idx="238">
                  <c:v>60.01</c:v>
                </c:pt>
                <c:pt idx="239">
                  <c:v>57.81</c:v>
                </c:pt>
                <c:pt idx="240">
                  <c:v>55.96</c:v>
                </c:pt>
                <c:pt idx="241">
                  <c:v>55.97</c:v>
                </c:pt>
                <c:pt idx="242">
                  <c:v>56.43</c:v>
                </c:pt>
                <c:pt idx="243">
                  <c:v>54.18</c:v>
                </c:pt>
                <c:pt idx="244">
                  <c:v>56.91</c:v>
                </c:pt>
                <c:pt idx="245">
                  <c:v>55.25</c:v>
                </c:pt>
                <c:pt idx="246">
                  <c:v>56.78</c:v>
                </c:pt>
                <c:pt idx="247">
                  <c:v>55.7</c:v>
                </c:pt>
                <c:pt idx="248">
                  <c:v>54.59</c:v>
                </c:pt>
                <c:pt idx="249">
                  <c:v>53.46</c:v>
                </c:pt>
                <c:pt idx="250">
                  <c:v>54.14</c:v>
                </c:pt>
                <c:pt idx="251">
                  <c:v>53.45</c:v>
                </c:pt>
                <c:pt idx="252">
                  <c:v>52.72</c:v>
                </c:pt>
                <c:pt idx="253">
                  <c:v>50.05</c:v>
                </c:pt>
                <c:pt idx="254">
                  <c:v>47.98</c:v>
                </c:pt>
                <c:pt idx="255">
                  <c:v>48.69</c:v>
                </c:pt>
                <c:pt idx="256">
                  <c:v>48.8</c:v>
                </c:pt>
                <c:pt idx="257">
                  <c:v>48.35</c:v>
                </c:pt>
                <c:pt idx="258">
                  <c:v>46.06</c:v>
                </c:pt>
                <c:pt idx="259">
                  <c:v>45.92</c:v>
                </c:pt>
                <c:pt idx="260">
                  <c:v>48.49</c:v>
                </c:pt>
                <c:pt idx="261">
                  <c:v>46.37</c:v>
                </c:pt>
                <c:pt idx="262">
                  <c:v>48.49</c:v>
                </c:pt>
                <c:pt idx="263">
                  <c:v>46.79</c:v>
                </c:pt>
                <c:pt idx="264">
                  <c:v>47.85</c:v>
                </c:pt>
                <c:pt idx="265">
                  <c:v>45.93</c:v>
                </c:pt>
                <c:pt idx="266">
                  <c:v>45.26</c:v>
                </c:pt>
                <c:pt idx="267">
                  <c:v>44.8</c:v>
                </c:pt>
                <c:pt idx="268">
                  <c:v>45.84</c:v>
                </c:pt>
                <c:pt idx="269">
                  <c:v>44.08</c:v>
                </c:pt>
                <c:pt idx="270">
                  <c:v>44.12</c:v>
                </c:pt>
                <c:pt idx="271">
                  <c:v>47.79</c:v>
                </c:pt>
                <c:pt idx="272">
                  <c:v>49.25</c:v>
                </c:pt>
                <c:pt idx="273">
                  <c:v>53.04</c:v>
                </c:pt>
                <c:pt idx="274">
                  <c:v>48.45</c:v>
                </c:pt>
                <c:pt idx="275">
                  <c:v>50.48</c:v>
                </c:pt>
                <c:pt idx="276">
                  <c:v>51.66</c:v>
                </c:pt>
                <c:pt idx="277">
                  <c:v>52.99</c:v>
                </c:pt>
                <c:pt idx="278">
                  <c:v>50.06</c:v>
                </c:pt>
                <c:pt idx="279">
                  <c:v>48.8</c:v>
                </c:pt>
                <c:pt idx="280">
                  <c:v>51.17</c:v>
                </c:pt>
                <c:pt idx="281">
                  <c:v>52.66</c:v>
                </c:pt>
                <c:pt idx="282">
                  <c:v>52.66</c:v>
                </c:pt>
                <c:pt idx="283">
                  <c:v>53.56</c:v>
                </c:pt>
                <c:pt idx="284">
                  <c:v>52.13</c:v>
                </c:pt>
                <c:pt idx="285">
                  <c:v>51.12</c:v>
                </c:pt>
                <c:pt idx="286">
                  <c:v>49.95</c:v>
                </c:pt>
                <c:pt idx="287">
                  <c:v>49.56</c:v>
                </c:pt>
                <c:pt idx="288">
                  <c:v>48.48</c:v>
                </c:pt>
                <c:pt idx="289">
                  <c:v>50.25</c:v>
                </c:pt>
                <c:pt idx="290">
                  <c:v>47.65</c:v>
                </c:pt>
                <c:pt idx="291">
                  <c:v>49.84</c:v>
                </c:pt>
                <c:pt idx="292">
                  <c:v>49.59</c:v>
                </c:pt>
                <c:pt idx="293">
                  <c:v>50.43</c:v>
                </c:pt>
                <c:pt idx="294">
                  <c:v>51.53</c:v>
                </c:pt>
                <c:pt idx="295">
                  <c:v>50.76</c:v>
                </c:pt>
                <c:pt idx="296">
                  <c:v>49.61</c:v>
                </c:pt>
                <c:pt idx="297">
                  <c:v>49.95</c:v>
                </c:pt>
                <c:pt idx="298">
                  <c:v>48.42</c:v>
                </c:pt>
                <c:pt idx="299">
                  <c:v>48.06</c:v>
                </c:pt>
                <c:pt idx="300">
                  <c:v>47.12</c:v>
                </c:pt>
                <c:pt idx="301">
                  <c:v>44.88</c:v>
                </c:pt>
                <c:pt idx="302">
                  <c:v>43.93</c:v>
                </c:pt>
                <c:pt idx="303">
                  <c:v>43.39</c:v>
                </c:pt>
                <c:pt idx="304">
                  <c:v>44.63</c:v>
                </c:pt>
                <c:pt idx="305">
                  <c:v>44.02</c:v>
                </c:pt>
                <c:pt idx="306">
                  <c:v>46</c:v>
                </c:pt>
                <c:pt idx="307">
                  <c:v>47.4</c:v>
                </c:pt>
                <c:pt idx="308">
                  <c:v>47.03</c:v>
                </c:pt>
                <c:pt idx="309">
                  <c:v>48.75</c:v>
                </c:pt>
                <c:pt idx="310">
                  <c:v>51.41</c:v>
                </c:pt>
                <c:pt idx="311">
                  <c:v>48.83</c:v>
                </c:pt>
                <c:pt idx="312">
                  <c:v>48.66</c:v>
                </c:pt>
                <c:pt idx="313">
                  <c:v>47.72</c:v>
                </c:pt>
                <c:pt idx="314">
                  <c:v>50.12</c:v>
                </c:pt>
                <c:pt idx="315">
                  <c:v>49.13</c:v>
                </c:pt>
                <c:pt idx="316">
                  <c:v>49.13</c:v>
                </c:pt>
                <c:pt idx="317">
                  <c:v>52.08</c:v>
                </c:pt>
                <c:pt idx="318">
                  <c:v>53.95</c:v>
                </c:pt>
                <c:pt idx="319">
                  <c:v>50.44</c:v>
                </c:pt>
                <c:pt idx="320">
                  <c:v>50.79</c:v>
                </c:pt>
                <c:pt idx="321">
                  <c:v>51.63</c:v>
                </c:pt>
                <c:pt idx="322">
                  <c:v>51.95</c:v>
                </c:pt>
                <c:pt idx="323">
                  <c:v>53.3</c:v>
                </c:pt>
                <c:pt idx="324">
                  <c:v>56.25</c:v>
                </c:pt>
                <c:pt idx="325">
                  <c:v>56.69</c:v>
                </c:pt>
                <c:pt idx="326">
                  <c:v>55.71</c:v>
                </c:pt>
                <c:pt idx="327">
                  <c:v>56.37</c:v>
                </c:pt>
                <c:pt idx="328">
                  <c:v>55.58</c:v>
                </c:pt>
                <c:pt idx="329">
                  <c:v>56.17</c:v>
                </c:pt>
                <c:pt idx="330">
                  <c:v>56.59</c:v>
                </c:pt>
                <c:pt idx="331">
                  <c:v>55.98</c:v>
                </c:pt>
                <c:pt idx="332">
                  <c:v>55.56</c:v>
                </c:pt>
                <c:pt idx="333">
                  <c:v>57.05</c:v>
                </c:pt>
                <c:pt idx="334">
                  <c:v>58.55</c:v>
                </c:pt>
                <c:pt idx="335">
                  <c:v>59.62</c:v>
                </c:pt>
                <c:pt idx="336">
                  <c:v>59.1</c:v>
                </c:pt>
                <c:pt idx="337">
                  <c:v>58.92</c:v>
                </c:pt>
                <c:pt idx="338">
                  <c:v>60.38</c:v>
                </c:pt>
                <c:pt idx="339">
                  <c:v>60.93</c:v>
                </c:pt>
                <c:pt idx="340">
                  <c:v>58.99</c:v>
                </c:pt>
                <c:pt idx="341">
                  <c:v>59.41</c:v>
                </c:pt>
                <c:pt idx="342">
                  <c:v>59.23</c:v>
                </c:pt>
                <c:pt idx="343">
                  <c:v>60.72</c:v>
                </c:pt>
                <c:pt idx="344">
                  <c:v>60.5</c:v>
                </c:pt>
                <c:pt idx="345">
                  <c:v>59.89</c:v>
                </c:pt>
                <c:pt idx="346">
                  <c:v>59.73</c:v>
                </c:pt>
                <c:pt idx="347">
                  <c:v>59.44</c:v>
                </c:pt>
                <c:pt idx="348">
                  <c:v>57.3</c:v>
                </c:pt>
                <c:pt idx="349">
                  <c:v>58.96</c:v>
                </c:pt>
                <c:pt idx="350">
                  <c:v>60.18</c:v>
                </c:pt>
                <c:pt idx="351">
                  <c:v>58.88</c:v>
                </c:pt>
                <c:pt idx="352">
                  <c:v>58.88</c:v>
                </c:pt>
                <c:pt idx="353">
                  <c:v>57.29</c:v>
                </c:pt>
                <c:pt idx="354">
                  <c:v>57.51</c:v>
                </c:pt>
                <c:pt idx="355">
                  <c:v>57.69</c:v>
                </c:pt>
                <c:pt idx="356">
                  <c:v>60.25</c:v>
                </c:pt>
                <c:pt idx="357">
                  <c:v>60.24</c:v>
                </c:pt>
                <c:pt idx="358">
                  <c:v>61.3</c:v>
                </c:pt>
                <c:pt idx="359">
                  <c:v>59.67</c:v>
                </c:pt>
                <c:pt idx="360">
                  <c:v>58</c:v>
                </c:pt>
                <c:pt idx="361">
                  <c:v>59.11</c:v>
                </c:pt>
                <c:pt idx="362">
                  <c:v>58.15</c:v>
                </c:pt>
                <c:pt idx="363">
                  <c:v>60.15</c:v>
                </c:pt>
                <c:pt idx="364">
                  <c:v>61.36</c:v>
                </c:pt>
                <c:pt idx="365">
                  <c:v>60.74</c:v>
                </c:pt>
                <c:pt idx="366">
                  <c:v>59.96</c:v>
                </c:pt>
                <c:pt idx="367">
                  <c:v>59.53</c:v>
                </c:pt>
                <c:pt idx="368">
                  <c:v>60.01</c:v>
                </c:pt>
                <c:pt idx="369">
                  <c:v>59.89</c:v>
                </c:pt>
                <c:pt idx="370">
                  <c:v>60.41</c:v>
                </c:pt>
                <c:pt idx="371">
                  <c:v>59.62</c:v>
                </c:pt>
                <c:pt idx="372">
                  <c:v>60.01</c:v>
                </c:pt>
                <c:pt idx="373">
                  <c:v>61.05</c:v>
                </c:pt>
                <c:pt idx="374">
                  <c:v>60.01</c:v>
                </c:pt>
                <c:pt idx="375">
                  <c:v>59.59</c:v>
                </c:pt>
                <c:pt idx="376">
                  <c:v>59.41</c:v>
                </c:pt>
                <c:pt idx="377">
                  <c:v>58.34</c:v>
                </c:pt>
                <c:pt idx="378">
                  <c:v>59.48</c:v>
                </c:pt>
                <c:pt idx="379">
                  <c:v>56.94</c:v>
                </c:pt>
                <c:pt idx="380">
                  <c:v>56.93</c:v>
                </c:pt>
                <c:pt idx="381">
                  <c:v>56.93</c:v>
                </c:pt>
                <c:pt idx="382">
                  <c:v>52.48</c:v>
                </c:pt>
                <c:pt idx="383">
                  <c:v>52.33</c:v>
                </c:pt>
                <c:pt idx="384">
                  <c:v>51.61</c:v>
                </c:pt>
                <c:pt idx="385">
                  <c:v>52.76</c:v>
                </c:pt>
                <c:pt idx="386">
                  <c:v>52.74</c:v>
                </c:pt>
                <c:pt idx="387">
                  <c:v>52.19</c:v>
                </c:pt>
                <c:pt idx="388">
                  <c:v>53.05</c:v>
                </c:pt>
                <c:pt idx="389">
                  <c:v>51.4</c:v>
                </c:pt>
                <c:pt idx="390">
                  <c:v>50.9</c:v>
                </c:pt>
                <c:pt idx="391">
                  <c:v>50.88</c:v>
                </c:pt>
                <c:pt idx="392">
                  <c:v>50.11</c:v>
                </c:pt>
                <c:pt idx="393">
                  <c:v>50.59</c:v>
                </c:pt>
                <c:pt idx="394">
                  <c:v>49.27</c:v>
                </c:pt>
                <c:pt idx="395">
                  <c:v>48.11</c:v>
                </c:pt>
                <c:pt idx="396">
                  <c:v>47.98</c:v>
                </c:pt>
                <c:pt idx="397">
                  <c:v>47.17</c:v>
                </c:pt>
                <c:pt idx="398">
                  <c:v>47.97</c:v>
                </c:pt>
                <c:pt idx="399">
                  <c:v>48.77</c:v>
                </c:pt>
                <c:pt idx="400">
                  <c:v>48.53</c:v>
                </c:pt>
                <c:pt idx="401">
                  <c:v>47.11</c:v>
                </c:pt>
                <c:pt idx="402">
                  <c:v>45.25</c:v>
                </c:pt>
                <c:pt idx="403">
                  <c:v>45.75</c:v>
                </c:pt>
                <c:pt idx="404">
                  <c:v>45.13</c:v>
                </c:pt>
                <c:pt idx="405">
                  <c:v>44.69</c:v>
                </c:pt>
                <c:pt idx="406">
                  <c:v>43.87</c:v>
                </c:pt>
                <c:pt idx="407">
                  <c:v>44.94</c:v>
                </c:pt>
                <c:pt idx="408">
                  <c:v>43.11</c:v>
                </c:pt>
                <c:pt idx="409">
                  <c:v>43.22</c:v>
                </c:pt>
                <c:pt idx="410">
                  <c:v>42.27</c:v>
                </c:pt>
                <c:pt idx="411">
                  <c:v>42.45</c:v>
                </c:pt>
                <c:pt idx="412">
                  <c:v>41.93</c:v>
                </c:pt>
                <c:pt idx="413">
                  <c:v>42.58</c:v>
                </c:pt>
                <c:pt idx="414">
                  <c:v>40.75</c:v>
                </c:pt>
                <c:pt idx="415">
                  <c:v>41</c:v>
                </c:pt>
                <c:pt idx="416">
                  <c:v>40.450000000000003</c:v>
                </c:pt>
                <c:pt idx="417">
                  <c:v>38.22</c:v>
                </c:pt>
                <c:pt idx="418">
                  <c:v>39.15</c:v>
                </c:pt>
                <c:pt idx="419">
                  <c:v>38.5</c:v>
                </c:pt>
                <c:pt idx="420">
                  <c:v>42.47</c:v>
                </c:pt>
                <c:pt idx="421">
                  <c:v>45.29</c:v>
                </c:pt>
                <c:pt idx="422">
                  <c:v>49.2</c:v>
                </c:pt>
                <c:pt idx="423">
                  <c:v>45.38</c:v>
                </c:pt>
                <c:pt idx="424">
                  <c:v>46.3</c:v>
                </c:pt>
                <c:pt idx="425">
                  <c:v>46.75</c:v>
                </c:pt>
                <c:pt idx="426">
                  <c:v>46.02</c:v>
                </c:pt>
                <c:pt idx="427">
                  <c:v>45.92</c:v>
                </c:pt>
                <c:pt idx="428">
                  <c:v>44.13</c:v>
                </c:pt>
                <c:pt idx="429">
                  <c:v>45.85</c:v>
                </c:pt>
                <c:pt idx="430">
                  <c:v>44.75</c:v>
                </c:pt>
                <c:pt idx="431">
                  <c:v>44.07</c:v>
                </c:pt>
                <c:pt idx="432">
                  <c:v>44.58</c:v>
                </c:pt>
                <c:pt idx="433">
                  <c:v>47.12</c:v>
                </c:pt>
                <c:pt idx="434">
                  <c:v>46.93</c:v>
                </c:pt>
                <c:pt idx="435">
                  <c:v>44.71</c:v>
                </c:pt>
                <c:pt idx="436">
                  <c:v>46.67</c:v>
                </c:pt>
                <c:pt idx="437">
                  <c:v>46.17</c:v>
                </c:pt>
                <c:pt idx="438">
                  <c:v>44.53</c:v>
                </c:pt>
                <c:pt idx="439">
                  <c:v>44.94</c:v>
                </c:pt>
                <c:pt idx="440">
                  <c:v>45.55</c:v>
                </c:pt>
                <c:pt idx="441">
                  <c:v>44.4</c:v>
                </c:pt>
                <c:pt idx="442">
                  <c:v>45.24</c:v>
                </c:pt>
                <c:pt idx="443">
                  <c:v>45.06</c:v>
                </c:pt>
                <c:pt idx="444">
                  <c:v>44.75</c:v>
                </c:pt>
                <c:pt idx="445">
                  <c:v>45.54</c:v>
                </c:pt>
                <c:pt idx="446">
                  <c:v>46.28</c:v>
                </c:pt>
                <c:pt idx="447">
                  <c:v>48.53</c:v>
                </c:pt>
                <c:pt idx="448">
                  <c:v>47.86</c:v>
                </c:pt>
                <c:pt idx="449">
                  <c:v>49.46</c:v>
                </c:pt>
                <c:pt idx="450">
                  <c:v>49.67</c:v>
                </c:pt>
                <c:pt idx="451">
                  <c:v>47.09</c:v>
                </c:pt>
                <c:pt idx="452">
                  <c:v>46.7</c:v>
                </c:pt>
                <c:pt idx="453">
                  <c:v>46.63</c:v>
                </c:pt>
                <c:pt idx="454">
                  <c:v>46.38</c:v>
                </c:pt>
                <c:pt idx="455">
                  <c:v>47.3</c:v>
                </c:pt>
                <c:pt idx="456">
                  <c:v>45.91</c:v>
                </c:pt>
                <c:pt idx="457">
                  <c:v>45.84</c:v>
                </c:pt>
                <c:pt idx="458">
                  <c:v>45.22</c:v>
                </c:pt>
                <c:pt idx="459">
                  <c:v>44.9</c:v>
                </c:pt>
                <c:pt idx="460">
                  <c:v>43.91</c:v>
                </c:pt>
                <c:pt idx="461">
                  <c:v>43.19</c:v>
                </c:pt>
                <c:pt idx="462">
                  <c:v>43.21</c:v>
                </c:pt>
                <c:pt idx="463">
                  <c:v>45.93</c:v>
                </c:pt>
                <c:pt idx="464">
                  <c:v>46.02</c:v>
                </c:pt>
                <c:pt idx="465">
                  <c:v>46.6</c:v>
                </c:pt>
                <c:pt idx="466">
                  <c:v>46.12</c:v>
                </c:pt>
                <c:pt idx="467">
                  <c:v>47.88</c:v>
                </c:pt>
                <c:pt idx="468">
                  <c:v>46.32</c:v>
                </c:pt>
                <c:pt idx="469">
                  <c:v>45.27</c:v>
                </c:pt>
                <c:pt idx="470">
                  <c:v>44.32</c:v>
                </c:pt>
                <c:pt idx="471">
                  <c:v>43.87</c:v>
                </c:pt>
                <c:pt idx="472">
                  <c:v>44.23</c:v>
                </c:pt>
                <c:pt idx="473">
                  <c:v>42.95</c:v>
                </c:pt>
                <c:pt idx="474">
                  <c:v>41.74</c:v>
                </c:pt>
                <c:pt idx="475">
                  <c:v>40.69</c:v>
                </c:pt>
                <c:pt idx="476">
                  <c:v>41.68</c:v>
                </c:pt>
                <c:pt idx="477">
                  <c:v>40.729999999999997</c:v>
                </c:pt>
                <c:pt idx="478">
                  <c:v>40.75</c:v>
                </c:pt>
                <c:pt idx="479">
                  <c:v>40.549999999999997</c:v>
                </c:pt>
                <c:pt idx="480">
                  <c:v>39.39</c:v>
                </c:pt>
                <c:pt idx="481">
                  <c:v>39.270000000000003</c:v>
                </c:pt>
                <c:pt idx="482">
                  <c:v>40.89</c:v>
                </c:pt>
                <c:pt idx="483">
                  <c:v>41.22</c:v>
                </c:pt>
                <c:pt idx="484">
                  <c:v>41.22</c:v>
                </c:pt>
                <c:pt idx="485">
                  <c:v>40.57</c:v>
                </c:pt>
                <c:pt idx="486">
                  <c:v>40.43</c:v>
                </c:pt>
                <c:pt idx="487">
                  <c:v>40.58</c:v>
                </c:pt>
                <c:pt idx="488">
                  <c:v>39.93</c:v>
                </c:pt>
                <c:pt idx="489">
                  <c:v>41.08</c:v>
                </c:pt>
                <c:pt idx="490">
                  <c:v>40</c:v>
                </c:pt>
                <c:pt idx="491">
                  <c:v>37.64</c:v>
                </c:pt>
                <c:pt idx="492">
                  <c:v>37.46</c:v>
                </c:pt>
                <c:pt idx="493">
                  <c:v>37.159999999999997</c:v>
                </c:pt>
                <c:pt idx="494">
                  <c:v>36.76</c:v>
                </c:pt>
                <c:pt idx="495">
                  <c:v>35.65</c:v>
                </c:pt>
                <c:pt idx="496">
                  <c:v>36.31</c:v>
                </c:pt>
                <c:pt idx="497">
                  <c:v>37.32</c:v>
                </c:pt>
                <c:pt idx="498">
                  <c:v>35.549999999999997</c:v>
                </c:pt>
                <c:pt idx="499">
                  <c:v>34.979999999999997</c:v>
                </c:pt>
                <c:pt idx="500">
                  <c:v>34.72</c:v>
                </c:pt>
                <c:pt idx="501">
                  <c:v>34.549999999999997</c:v>
                </c:pt>
                <c:pt idx="502">
                  <c:v>36.119999999999997</c:v>
                </c:pt>
                <c:pt idx="503">
                  <c:v>36.76</c:v>
                </c:pt>
                <c:pt idx="504">
                  <c:v>37.619999999999997</c:v>
                </c:pt>
                <c:pt idx="505">
                  <c:v>36.36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0D-453F-BC5F-23C1D767B28E}"/>
            </c:ext>
          </c:extLst>
        </c:ser>
        <c:ser>
          <c:idx val="1"/>
          <c:order val="1"/>
          <c:tx>
            <c:v>SMA(20 days)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'WTI Analysis'!$C$2:$C$507</c:f>
              <c:numCache>
                <c:formatCode>General</c:formatCode>
                <c:ptCount val="506"/>
                <c:pt idx="0">
                  <c:v>94.470499999999987</c:v>
                </c:pt>
                <c:pt idx="1">
                  <c:v>94.590999999999994</c:v>
                </c:pt>
                <c:pt idx="2">
                  <c:v>94.72999999999999</c:v>
                </c:pt>
                <c:pt idx="3">
                  <c:v>94.935999999999993</c:v>
                </c:pt>
                <c:pt idx="4">
                  <c:v>95.140500000000003</c:v>
                </c:pt>
                <c:pt idx="5">
                  <c:v>95.4375</c:v>
                </c:pt>
                <c:pt idx="6">
                  <c:v>95.868499999999997</c:v>
                </c:pt>
                <c:pt idx="7">
                  <c:v>96.254999999999995</c:v>
                </c:pt>
                <c:pt idx="8">
                  <c:v>96.680500000000009</c:v>
                </c:pt>
                <c:pt idx="9">
                  <c:v>97.092000000000013</c:v>
                </c:pt>
                <c:pt idx="10">
                  <c:v>97.416500000000013</c:v>
                </c:pt>
                <c:pt idx="11">
                  <c:v>97.754999999999995</c:v>
                </c:pt>
                <c:pt idx="12">
                  <c:v>98.183999999999997</c:v>
                </c:pt>
                <c:pt idx="13">
                  <c:v>98.631500000000003</c:v>
                </c:pt>
                <c:pt idx="14">
                  <c:v>98.974000000000018</c:v>
                </c:pt>
                <c:pt idx="15">
                  <c:v>99.239000000000004</c:v>
                </c:pt>
                <c:pt idx="16">
                  <c:v>99.564499999999995</c:v>
                </c:pt>
                <c:pt idx="17">
                  <c:v>99.883499999999998</c:v>
                </c:pt>
                <c:pt idx="18">
                  <c:v>100.1555</c:v>
                </c:pt>
                <c:pt idx="19">
                  <c:v>100.42250000000001</c:v>
                </c:pt>
                <c:pt idx="20">
                  <c:v>100.65400000000002</c:v>
                </c:pt>
                <c:pt idx="21">
                  <c:v>101.04350000000001</c:v>
                </c:pt>
                <c:pt idx="22">
                  <c:v>101.40350000000001</c:v>
                </c:pt>
                <c:pt idx="23">
                  <c:v>101.62900000000002</c:v>
                </c:pt>
                <c:pt idx="24">
                  <c:v>101.85000000000001</c:v>
                </c:pt>
                <c:pt idx="25">
                  <c:v>102.099</c:v>
                </c:pt>
                <c:pt idx="26">
                  <c:v>102.1695</c:v>
                </c:pt>
                <c:pt idx="27">
                  <c:v>102.17800000000001</c:v>
                </c:pt>
                <c:pt idx="28">
                  <c:v>102.09450000000001</c:v>
                </c:pt>
                <c:pt idx="29">
                  <c:v>102.00399999999999</c:v>
                </c:pt>
                <c:pt idx="30">
                  <c:v>101.952</c:v>
                </c:pt>
                <c:pt idx="31">
                  <c:v>101.858</c:v>
                </c:pt>
                <c:pt idx="32">
                  <c:v>101.735</c:v>
                </c:pt>
                <c:pt idx="33">
                  <c:v>101.5975</c:v>
                </c:pt>
                <c:pt idx="34">
                  <c:v>101.42150000000001</c:v>
                </c:pt>
                <c:pt idx="35">
                  <c:v>101.29350000000001</c:v>
                </c:pt>
                <c:pt idx="36">
                  <c:v>101.1375</c:v>
                </c:pt>
                <c:pt idx="37">
                  <c:v>101.01050000000001</c:v>
                </c:pt>
                <c:pt idx="38">
                  <c:v>100.89449999999999</c:v>
                </c:pt>
                <c:pt idx="39">
                  <c:v>100.82300000000001</c:v>
                </c:pt>
                <c:pt idx="40">
                  <c:v>100.7655</c:v>
                </c:pt>
                <c:pt idx="41">
                  <c:v>100.577</c:v>
                </c:pt>
                <c:pt idx="42">
                  <c:v>100.37950000000001</c:v>
                </c:pt>
                <c:pt idx="43">
                  <c:v>100.27200000000001</c:v>
                </c:pt>
                <c:pt idx="44">
                  <c:v>100.1955</c:v>
                </c:pt>
                <c:pt idx="45">
                  <c:v>100.1125</c:v>
                </c:pt>
                <c:pt idx="46">
                  <c:v>100.0645</c:v>
                </c:pt>
                <c:pt idx="47">
                  <c:v>100.1785</c:v>
                </c:pt>
                <c:pt idx="48">
                  <c:v>100.44149999999999</c:v>
                </c:pt>
                <c:pt idx="49">
                  <c:v>100.68149999999999</c:v>
                </c:pt>
                <c:pt idx="50">
                  <c:v>100.90400000000001</c:v>
                </c:pt>
                <c:pt idx="51">
                  <c:v>101.18500000000002</c:v>
                </c:pt>
                <c:pt idx="52">
                  <c:v>101.366</c:v>
                </c:pt>
                <c:pt idx="53">
                  <c:v>101.51600000000002</c:v>
                </c:pt>
                <c:pt idx="54">
                  <c:v>101.74850000000001</c:v>
                </c:pt>
                <c:pt idx="55">
                  <c:v>101.96749999999999</c:v>
                </c:pt>
                <c:pt idx="56">
                  <c:v>102.04949999999999</c:v>
                </c:pt>
                <c:pt idx="57">
                  <c:v>102.13999999999999</c:v>
                </c:pt>
                <c:pt idx="58">
                  <c:v>102.21950000000001</c:v>
                </c:pt>
                <c:pt idx="59">
                  <c:v>102.19949999999999</c:v>
                </c:pt>
                <c:pt idx="60">
                  <c:v>102.1695</c:v>
                </c:pt>
                <c:pt idx="61">
                  <c:v>102.16899999999998</c:v>
                </c:pt>
                <c:pt idx="62">
                  <c:v>102.18799999999997</c:v>
                </c:pt>
                <c:pt idx="63">
                  <c:v>102.19249999999998</c:v>
                </c:pt>
                <c:pt idx="64">
                  <c:v>102.18249999999998</c:v>
                </c:pt>
                <c:pt idx="65">
                  <c:v>102.11149999999999</c:v>
                </c:pt>
                <c:pt idx="66">
                  <c:v>102.0805</c:v>
                </c:pt>
                <c:pt idx="67">
                  <c:v>102.00499999999998</c:v>
                </c:pt>
                <c:pt idx="68">
                  <c:v>101.8535</c:v>
                </c:pt>
                <c:pt idx="69">
                  <c:v>101.70099999999998</c:v>
                </c:pt>
                <c:pt idx="70">
                  <c:v>101.5615</c:v>
                </c:pt>
                <c:pt idx="71">
                  <c:v>101.45949999999999</c:v>
                </c:pt>
                <c:pt idx="72">
                  <c:v>101.40599999999999</c:v>
                </c:pt>
                <c:pt idx="73">
                  <c:v>101.30749999999999</c:v>
                </c:pt>
                <c:pt idx="74">
                  <c:v>101.20649999999999</c:v>
                </c:pt>
                <c:pt idx="75">
                  <c:v>101.1365</c:v>
                </c:pt>
                <c:pt idx="76">
                  <c:v>101.19199999999999</c:v>
                </c:pt>
                <c:pt idx="77">
                  <c:v>101.334</c:v>
                </c:pt>
                <c:pt idx="78">
                  <c:v>101.42549999999999</c:v>
                </c:pt>
                <c:pt idx="79">
                  <c:v>101.6335</c:v>
                </c:pt>
                <c:pt idx="80">
                  <c:v>101.81599999999999</c:v>
                </c:pt>
                <c:pt idx="81">
                  <c:v>101.90649999999998</c:v>
                </c:pt>
                <c:pt idx="82">
                  <c:v>102.116</c:v>
                </c:pt>
                <c:pt idx="83">
                  <c:v>102.3015</c:v>
                </c:pt>
                <c:pt idx="84">
                  <c:v>102.45049999999999</c:v>
                </c:pt>
                <c:pt idx="85">
                  <c:v>102.63050000000001</c:v>
                </c:pt>
                <c:pt idx="86">
                  <c:v>102.80350000000001</c:v>
                </c:pt>
                <c:pt idx="87">
                  <c:v>102.90899999999996</c:v>
                </c:pt>
                <c:pt idx="88">
                  <c:v>103.04900000000001</c:v>
                </c:pt>
                <c:pt idx="89">
                  <c:v>103.28749999999999</c:v>
                </c:pt>
                <c:pt idx="90">
                  <c:v>103.494</c:v>
                </c:pt>
                <c:pt idx="91">
                  <c:v>103.6455</c:v>
                </c:pt>
                <c:pt idx="92">
                  <c:v>103.87399999999998</c:v>
                </c:pt>
                <c:pt idx="93">
                  <c:v>104.16149999999998</c:v>
                </c:pt>
                <c:pt idx="94">
                  <c:v>104.422</c:v>
                </c:pt>
                <c:pt idx="95">
                  <c:v>104.62199999999999</c:v>
                </c:pt>
                <c:pt idx="96">
                  <c:v>104.81400000000001</c:v>
                </c:pt>
                <c:pt idx="97">
                  <c:v>104.95250000000001</c:v>
                </c:pt>
                <c:pt idx="98">
                  <c:v>105.14849999999998</c:v>
                </c:pt>
                <c:pt idx="99">
                  <c:v>105.23949999999999</c:v>
                </c:pt>
                <c:pt idx="100">
                  <c:v>105.33250000000001</c:v>
                </c:pt>
                <c:pt idx="101">
                  <c:v>105.51600000000001</c:v>
                </c:pt>
                <c:pt idx="102">
                  <c:v>105.62749999999998</c:v>
                </c:pt>
                <c:pt idx="103">
                  <c:v>105.7805</c:v>
                </c:pt>
                <c:pt idx="104">
                  <c:v>105.93050000000001</c:v>
                </c:pt>
                <c:pt idx="105">
                  <c:v>106.06649999999999</c:v>
                </c:pt>
                <c:pt idx="106">
                  <c:v>106.16199999999999</c:v>
                </c:pt>
                <c:pt idx="107">
                  <c:v>106.24150000000002</c:v>
                </c:pt>
                <c:pt idx="108">
                  <c:v>106.285</c:v>
                </c:pt>
                <c:pt idx="109">
                  <c:v>106.23350000000001</c:v>
                </c:pt>
                <c:pt idx="110">
                  <c:v>106.12899999999999</c:v>
                </c:pt>
                <c:pt idx="111">
                  <c:v>106.0575</c:v>
                </c:pt>
                <c:pt idx="112">
                  <c:v>105.77149999999999</c:v>
                </c:pt>
                <c:pt idx="113">
                  <c:v>105.48349999999998</c:v>
                </c:pt>
                <c:pt idx="114">
                  <c:v>105.13550000000001</c:v>
                </c:pt>
                <c:pt idx="115">
                  <c:v>104.88199999999999</c:v>
                </c:pt>
                <c:pt idx="116">
                  <c:v>104.742</c:v>
                </c:pt>
                <c:pt idx="117">
                  <c:v>104.57950000000001</c:v>
                </c:pt>
                <c:pt idx="118">
                  <c:v>104.44899999999998</c:v>
                </c:pt>
                <c:pt idx="119">
                  <c:v>104.33699999999999</c:v>
                </c:pt>
                <c:pt idx="120">
                  <c:v>104.1955</c:v>
                </c:pt>
                <c:pt idx="121">
                  <c:v>103.98149999999998</c:v>
                </c:pt>
                <c:pt idx="122">
                  <c:v>103.91849999999997</c:v>
                </c:pt>
                <c:pt idx="123">
                  <c:v>103.87949999999996</c:v>
                </c:pt>
                <c:pt idx="124">
                  <c:v>103.82149999999999</c:v>
                </c:pt>
                <c:pt idx="125">
                  <c:v>103.73299999999999</c:v>
                </c:pt>
                <c:pt idx="126">
                  <c:v>103.38549999999998</c:v>
                </c:pt>
                <c:pt idx="127">
                  <c:v>103.04049999999999</c:v>
                </c:pt>
                <c:pt idx="128">
                  <c:v>102.744</c:v>
                </c:pt>
                <c:pt idx="129">
                  <c:v>102.40800000000002</c:v>
                </c:pt>
                <c:pt idx="130">
                  <c:v>102.108</c:v>
                </c:pt>
                <c:pt idx="131">
                  <c:v>101.7945</c:v>
                </c:pt>
                <c:pt idx="132">
                  <c:v>101.60099999999998</c:v>
                </c:pt>
                <c:pt idx="133">
                  <c:v>101.41899999999998</c:v>
                </c:pt>
                <c:pt idx="134">
                  <c:v>101.25899999999999</c:v>
                </c:pt>
                <c:pt idx="135">
                  <c:v>101.04349999999998</c:v>
                </c:pt>
                <c:pt idx="136">
                  <c:v>100.62849999999996</c:v>
                </c:pt>
                <c:pt idx="137">
                  <c:v>100.30199999999998</c:v>
                </c:pt>
                <c:pt idx="138">
                  <c:v>99.856999999999985</c:v>
                </c:pt>
                <c:pt idx="139">
                  <c:v>99.34499999999997</c:v>
                </c:pt>
                <c:pt idx="140">
                  <c:v>98.974499999999978</c:v>
                </c:pt>
                <c:pt idx="141">
                  <c:v>98.534999999999997</c:v>
                </c:pt>
                <c:pt idx="142">
                  <c:v>97.953999999999979</c:v>
                </c:pt>
                <c:pt idx="143">
                  <c:v>97.439499999999995</c:v>
                </c:pt>
                <c:pt idx="144">
                  <c:v>96.983000000000004</c:v>
                </c:pt>
                <c:pt idx="145">
                  <c:v>96.5595</c:v>
                </c:pt>
                <c:pt idx="146">
                  <c:v>96.47</c:v>
                </c:pt>
                <c:pt idx="147">
                  <c:v>96.47</c:v>
                </c:pt>
                <c:pt idx="148">
                  <c:v>96.203000000000003</c:v>
                </c:pt>
                <c:pt idx="149">
                  <c:v>96.111000000000004</c:v>
                </c:pt>
                <c:pt idx="150">
                  <c:v>95.99</c:v>
                </c:pt>
                <c:pt idx="151">
                  <c:v>95.789000000000001</c:v>
                </c:pt>
                <c:pt idx="152">
                  <c:v>95.540499999999994</c:v>
                </c:pt>
                <c:pt idx="153">
                  <c:v>95.272500000000008</c:v>
                </c:pt>
                <c:pt idx="154">
                  <c:v>94.990000000000009</c:v>
                </c:pt>
                <c:pt idx="155">
                  <c:v>94.756</c:v>
                </c:pt>
                <c:pt idx="156">
                  <c:v>94.588000000000008</c:v>
                </c:pt>
                <c:pt idx="157">
                  <c:v>94.366000000000014</c:v>
                </c:pt>
                <c:pt idx="158">
                  <c:v>94.289500000000004</c:v>
                </c:pt>
                <c:pt idx="159">
                  <c:v>94.288500000000013</c:v>
                </c:pt>
                <c:pt idx="160">
                  <c:v>94.122</c:v>
                </c:pt>
                <c:pt idx="161">
                  <c:v>94.045000000000002</c:v>
                </c:pt>
                <c:pt idx="162">
                  <c:v>93.9375</c:v>
                </c:pt>
                <c:pt idx="163">
                  <c:v>93.745499999999993</c:v>
                </c:pt>
                <c:pt idx="164">
                  <c:v>93.636499999999998</c:v>
                </c:pt>
                <c:pt idx="165">
                  <c:v>93.524999999999991</c:v>
                </c:pt>
                <c:pt idx="166">
                  <c:v>93.480499999999978</c:v>
                </c:pt>
                <c:pt idx="167">
                  <c:v>93.313999999999993</c:v>
                </c:pt>
                <c:pt idx="168">
                  <c:v>93.226499999999987</c:v>
                </c:pt>
                <c:pt idx="169">
                  <c:v>92.988500000000002</c:v>
                </c:pt>
                <c:pt idx="170">
                  <c:v>92.813999999999993</c:v>
                </c:pt>
                <c:pt idx="171">
                  <c:v>92.635999999999996</c:v>
                </c:pt>
                <c:pt idx="172">
                  <c:v>92.520499999999998</c:v>
                </c:pt>
                <c:pt idx="173">
                  <c:v>92.328500000000005</c:v>
                </c:pt>
                <c:pt idx="174">
                  <c:v>92.107500000000002</c:v>
                </c:pt>
                <c:pt idx="175">
                  <c:v>91.751000000000005</c:v>
                </c:pt>
                <c:pt idx="176">
                  <c:v>91.435500000000005</c:v>
                </c:pt>
                <c:pt idx="177">
                  <c:v>91.078999999999994</c:v>
                </c:pt>
                <c:pt idx="178">
                  <c:v>90.419499999999999</c:v>
                </c:pt>
                <c:pt idx="179">
                  <c:v>89.794000000000011</c:v>
                </c:pt>
                <c:pt idx="180">
                  <c:v>89.256999999999991</c:v>
                </c:pt>
                <c:pt idx="181">
                  <c:v>88.775499999999994</c:v>
                </c:pt>
                <c:pt idx="182">
                  <c:v>88.340499999999992</c:v>
                </c:pt>
                <c:pt idx="183">
                  <c:v>87.925499999999985</c:v>
                </c:pt>
                <c:pt idx="184">
                  <c:v>87.271499999999989</c:v>
                </c:pt>
                <c:pt idx="185">
                  <c:v>86.732499999999987</c:v>
                </c:pt>
                <c:pt idx="186">
                  <c:v>86.018499999999989</c:v>
                </c:pt>
                <c:pt idx="187">
                  <c:v>85.35499999999999</c:v>
                </c:pt>
                <c:pt idx="188">
                  <c:v>84.864499999999992</c:v>
                </c:pt>
                <c:pt idx="189">
                  <c:v>84.44</c:v>
                </c:pt>
                <c:pt idx="190">
                  <c:v>83.941999999999993</c:v>
                </c:pt>
                <c:pt idx="191">
                  <c:v>83.480499999999992</c:v>
                </c:pt>
                <c:pt idx="192">
                  <c:v>82.902499999999989</c:v>
                </c:pt>
                <c:pt idx="193">
                  <c:v>82.315499999999986</c:v>
                </c:pt>
                <c:pt idx="194">
                  <c:v>81.886499999999984</c:v>
                </c:pt>
                <c:pt idx="195">
                  <c:v>81.49199999999999</c:v>
                </c:pt>
                <c:pt idx="196">
                  <c:v>81.134000000000015</c:v>
                </c:pt>
                <c:pt idx="197">
                  <c:v>80.719000000000023</c:v>
                </c:pt>
                <c:pt idx="198">
                  <c:v>80.525499999999994</c:v>
                </c:pt>
                <c:pt idx="199">
                  <c:v>80.292500000000018</c:v>
                </c:pt>
                <c:pt idx="200">
                  <c:v>79.882500000000007</c:v>
                </c:pt>
                <c:pt idx="201">
                  <c:v>79.537999999999997</c:v>
                </c:pt>
                <c:pt idx="202">
                  <c:v>79.182000000000016</c:v>
                </c:pt>
                <c:pt idx="203">
                  <c:v>78.747000000000014</c:v>
                </c:pt>
                <c:pt idx="204">
                  <c:v>78.44850000000001</c:v>
                </c:pt>
                <c:pt idx="205">
                  <c:v>78.089500000000015</c:v>
                </c:pt>
                <c:pt idx="206">
                  <c:v>77.852000000000018</c:v>
                </c:pt>
                <c:pt idx="207">
                  <c:v>77.576000000000008</c:v>
                </c:pt>
                <c:pt idx="208">
                  <c:v>77.210000000000008</c:v>
                </c:pt>
                <c:pt idx="209">
                  <c:v>76.782499999999999</c:v>
                </c:pt>
                <c:pt idx="210">
                  <c:v>76.026500000000013</c:v>
                </c:pt>
                <c:pt idx="211">
                  <c:v>75.448999999999998</c:v>
                </c:pt>
                <c:pt idx="212">
                  <c:v>74.86</c:v>
                </c:pt>
                <c:pt idx="213">
                  <c:v>74.367499999999978</c:v>
                </c:pt>
                <c:pt idx="214">
                  <c:v>73.768499999999989</c:v>
                </c:pt>
                <c:pt idx="215">
                  <c:v>73.169499999999999</c:v>
                </c:pt>
                <c:pt idx="216">
                  <c:v>72.390500000000003</c:v>
                </c:pt>
                <c:pt idx="217">
                  <c:v>71.706000000000003</c:v>
                </c:pt>
                <c:pt idx="218">
                  <c:v>70.863000000000014</c:v>
                </c:pt>
                <c:pt idx="219">
                  <c:v>70.005500000000012</c:v>
                </c:pt>
                <c:pt idx="220">
                  <c:v>69.18950000000001</c:v>
                </c:pt>
                <c:pt idx="221">
                  <c:v>68.191999999999993</c:v>
                </c:pt>
                <c:pt idx="222">
                  <c:v>67.208500000000001</c:v>
                </c:pt>
                <c:pt idx="223">
                  <c:v>66.302499999999995</c:v>
                </c:pt>
                <c:pt idx="224">
                  <c:v>65.284000000000006</c:v>
                </c:pt>
                <c:pt idx="225">
                  <c:v>64.348000000000013</c:v>
                </c:pt>
                <c:pt idx="226">
                  <c:v>63.284500000000016</c:v>
                </c:pt>
                <c:pt idx="227">
                  <c:v>62.336500000000001</c:v>
                </c:pt>
                <c:pt idx="228">
                  <c:v>61.419500000000006</c:v>
                </c:pt>
                <c:pt idx="229">
                  <c:v>60.463999999999999</c:v>
                </c:pt>
                <c:pt idx="230">
                  <c:v>59.839999999999996</c:v>
                </c:pt>
                <c:pt idx="231">
                  <c:v>59.097999999999999</c:v>
                </c:pt>
                <c:pt idx="232">
                  <c:v>58.421000000000006</c:v>
                </c:pt>
                <c:pt idx="233">
                  <c:v>57.692000000000007</c:v>
                </c:pt>
                <c:pt idx="234">
                  <c:v>56.85799999999999</c:v>
                </c:pt>
                <c:pt idx="235">
                  <c:v>55.962500000000013</c:v>
                </c:pt>
                <c:pt idx="236">
                  <c:v>55.240500000000011</c:v>
                </c:pt>
                <c:pt idx="237">
                  <c:v>54.493500000000004</c:v>
                </c:pt>
                <c:pt idx="238">
                  <c:v>53.861499999999999</c:v>
                </c:pt>
                <c:pt idx="239">
                  <c:v>53.164000000000001</c:v>
                </c:pt>
                <c:pt idx="240">
                  <c:v>52.569500000000005</c:v>
                </c:pt>
                <c:pt idx="241">
                  <c:v>52.195999999999991</c:v>
                </c:pt>
                <c:pt idx="242">
                  <c:v>51.715999999999994</c:v>
                </c:pt>
                <c:pt idx="243">
                  <c:v>51.318999999999996</c:v>
                </c:pt>
                <c:pt idx="244">
                  <c:v>50.9495</c:v>
                </c:pt>
                <c:pt idx="245">
                  <c:v>50.496499999999997</c:v>
                </c:pt>
                <c:pt idx="246">
                  <c:v>50.030499999999996</c:v>
                </c:pt>
                <c:pt idx="247">
                  <c:v>49.454499999999996</c:v>
                </c:pt>
                <c:pt idx="248">
                  <c:v>48.909499999999994</c:v>
                </c:pt>
                <c:pt idx="249">
                  <c:v>48.471999999999994</c:v>
                </c:pt>
                <c:pt idx="250">
                  <c:v>48.003</c:v>
                </c:pt>
                <c:pt idx="251">
                  <c:v>47.501999999999995</c:v>
                </c:pt>
                <c:pt idx="252">
                  <c:v>47.219000000000001</c:v>
                </c:pt>
                <c:pt idx="253">
                  <c:v>47.045499999999997</c:v>
                </c:pt>
                <c:pt idx="254">
                  <c:v>47.194999999999993</c:v>
                </c:pt>
                <c:pt idx="255">
                  <c:v>47.218499999999999</c:v>
                </c:pt>
                <c:pt idx="256">
                  <c:v>47.308000000000007</c:v>
                </c:pt>
                <c:pt idx="257">
                  <c:v>47.451000000000008</c:v>
                </c:pt>
                <c:pt idx="258">
                  <c:v>47.683000000000007</c:v>
                </c:pt>
                <c:pt idx="259">
                  <c:v>47.882999999999996</c:v>
                </c:pt>
                <c:pt idx="260">
                  <c:v>48.027000000000001</c:v>
                </c:pt>
                <c:pt idx="261">
                  <c:v>48.160999999999994</c:v>
                </c:pt>
                <c:pt idx="262">
                  <c:v>48.475499999999997</c:v>
                </c:pt>
                <c:pt idx="263">
                  <c:v>48.683999999999997</c:v>
                </c:pt>
                <c:pt idx="264">
                  <c:v>49.022500000000001</c:v>
                </c:pt>
                <c:pt idx="265">
                  <c:v>49.236499999999992</c:v>
                </c:pt>
                <c:pt idx="266">
                  <c:v>49.496000000000002</c:v>
                </c:pt>
                <c:pt idx="267">
                  <c:v>49.730499999999992</c:v>
                </c:pt>
                <c:pt idx="268">
                  <c:v>49.968499999999992</c:v>
                </c:pt>
                <c:pt idx="269">
                  <c:v>50.100499999999997</c:v>
                </c:pt>
                <c:pt idx="270">
                  <c:v>50.408999999999992</c:v>
                </c:pt>
                <c:pt idx="271">
                  <c:v>50.585499999999996</c:v>
                </c:pt>
                <c:pt idx="272">
                  <c:v>50.688000000000002</c:v>
                </c:pt>
                <c:pt idx="273">
                  <c:v>50.704999999999998</c:v>
                </c:pt>
                <c:pt idx="274">
                  <c:v>50.5745</c:v>
                </c:pt>
                <c:pt idx="275">
                  <c:v>50.728500000000011</c:v>
                </c:pt>
                <c:pt idx="276">
                  <c:v>50.742499999999993</c:v>
                </c:pt>
                <c:pt idx="277">
                  <c:v>50.64</c:v>
                </c:pt>
                <c:pt idx="278">
                  <c:v>50.488</c:v>
                </c:pt>
                <c:pt idx="279">
                  <c:v>50.405999999999999</c:v>
                </c:pt>
                <c:pt idx="280">
                  <c:v>50.369000000000007</c:v>
                </c:pt>
                <c:pt idx="281">
                  <c:v>50.166499999999999</c:v>
                </c:pt>
                <c:pt idx="282">
                  <c:v>49.777499999999996</c:v>
                </c:pt>
                <c:pt idx="283">
                  <c:v>49.340999999999994</c:v>
                </c:pt>
                <c:pt idx="284">
                  <c:v>48.832500000000003</c:v>
                </c:pt>
                <c:pt idx="285">
                  <c:v>48.457499999999996</c:v>
                </c:pt>
                <c:pt idx="286">
                  <c:v>48.102500000000006</c:v>
                </c:pt>
                <c:pt idx="287">
                  <c:v>47.905000000000001</c:v>
                </c:pt>
                <c:pt idx="288">
                  <c:v>47.79699999999999</c:v>
                </c:pt>
                <c:pt idx="289">
                  <c:v>47.724499999999992</c:v>
                </c:pt>
                <c:pt idx="290">
                  <c:v>47.649499999999996</c:v>
                </c:pt>
                <c:pt idx="291">
                  <c:v>47.837499999999991</c:v>
                </c:pt>
                <c:pt idx="292">
                  <c:v>47.786999999999992</c:v>
                </c:pt>
                <c:pt idx="293">
                  <c:v>47.740499999999997</c:v>
                </c:pt>
                <c:pt idx="294">
                  <c:v>47.604999999999997</c:v>
                </c:pt>
                <c:pt idx="295">
                  <c:v>47.534499999999994</c:v>
                </c:pt>
                <c:pt idx="296">
                  <c:v>47.452999999999996</c:v>
                </c:pt>
                <c:pt idx="297">
                  <c:v>47.428999999999995</c:v>
                </c:pt>
                <c:pt idx="298">
                  <c:v>47.535499999999999</c:v>
                </c:pt>
                <c:pt idx="299">
                  <c:v>47.811999999999998</c:v>
                </c:pt>
                <c:pt idx="300">
                  <c:v>47.931000000000004</c:v>
                </c:pt>
                <c:pt idx="301">
                  <c:v>48.1145</c:v>
                </c:pt>
                <c:pt idx="302">
                  <c:v>48.452000000000005</c:v>
                </c:pt>
                <c:pt idx="303">
                  <c:v>48.853000000000002</c:v>
                </c:pt>
                <c:pt idx="304">
                  <c:v>49.348500000000008</c:v>
                </c:pt>
                <c:pt idx="305">
                  <c:v>49.929500000000004</c:v>
                </c:pt>
                <c:pt idx="306">
                  <c:v>50.563000000000002</c:v>
                </c:pt>
                <c:pt idx="307">
                  <c:v>51.048500000000004</c:v>
                </c:pt>
                <c:pt idx="308">
                  <c:v>51.496999999999993</c:v>
                </c:pt>
                <c:pt idx="309">
                  <c:v>51.924500000000002</c:v>
                </c:pt>
                <c:pt idx="310">
                  <c:v>52.295500000000004</c:v>
                </c:pt>
                <c:pt idx="311">
                  <c:v>52.554500000000004</c:v>
                </c:pt>
                <c:pt idx="312">
                  <c:v>52.911999999999999</c:v>
                </c:pt>
                <c:pt idx="313">
                  <c:v>53.257000000000005</c:v>
                </c:pt>
                <c:pt idx="314">
                  <c:v>53.723500000000001</c:v>
                </c:pt>
                <c:pt idx="315">
                  <c:v>54.145000000000003</c:v>
                </c:pt>
                <c:pt idx="316">
                  <c:v>54.669499999999992</c:v>
                </c:pt>
                <c:pt idx="317">
                  <c:v>55.167999999999985</c:v>
                </c:pt>
                <c:pt idx="318">
                  <c:v>55.510000000000005</c:v>
                </c:pt>
                <c:pt idx="319">
                  <c:v>55.831500000000005</c:v>
                </c:pt>
                <c:pt idx="320">
                  <c:v>56.355999999999995</c:v>
                </c:pt>
                <c:pt idx="321">
                  <c:v>56.765999999999998</c:v>
                </c:pt>
                <c:pt idx="322">
                  <c:v>57.155000000000008</c:v>
                </c:pt>
                <c:pt idx="323">
                  <c:v>57.518999999999991</c:v>
                </c:pt>
                <c:pt idx="324">
                  <c:v>57.89</c:v>
                </c:pt>
                <c:pt idx="325">
                  <c:v>58.102499999999999</c:v>
                </c:pt>
                <c:pt idx="326">
                  <c:v>58.262500000000003</c:v>
                </c:pt>
                <c:pt idx="327">
                  <c:v>58.46350000000001</c:v>
                </c:pt>
                <c:pt idx="328">
                  <c:v>58.617000000000004</c:v>
                </c:pt>
                <c:pt idx="329">
                  <c:v>58.702999999999996</c:v>
                </c:pt>
                <c:pt idx="330">
                  <c:v>58.842500000000008</c:v>
                </c:pt>
                <c:pt idx="331">
                  <c:v>59.022000000000006</c:v>
                </c:pt>
                <c:pt idx="332">
                  <c:v>59.167000000000009</c:v>
                </c:pt>
                <c:pt idx="333">
                  <c:v>59.333000000000013</c:v>
                </c:pt>
                <c:pt idx="334">
                  <c:v>59.345000000000006</c:v>
                </c:pt>
                <c:pt idx="335">
                  <c:v>59.293000000000006</c:v>
                </c:pt>
                <c:pt idx="336">
                  <c:v>59.1965</c:v>
                </c:pt>
                <c:pt idx="337">
                  <c:v>59.254000000000005</c:v>
                </c:pt>
                <c:pt idx="338">
                  <c:v>59.319999999999993</c:v>
                </c:pt>
                <c:pt idx="339">
                  <c:v>59.365999999999985</c:v>
                </c:pt>
                <c:pt idx="340">
                  <c:v>59.302999999999997</c:v>
                </c:pt>
                <c:pt idx="341">
                  <c:v>59.253499999999995</c:v>
                </c:pt>
                <c:pt idx="342">
                  <c:v>59.238499999999988</c:v>
                </c:pt>
                <c:pt idx="343">
                  <c:v>59.184499999999993</c:v>
                </c:pt>
                <c:pt idx="344">
                  <c:v>59.156000000000006</c:v>
                </c:pt>
                <c:pt idx="345">
                  <c:v>59.198999999999998</c:v>
                </c:pt>
                <c:pt idx="346">
                  <c:v>59.241499999999988</c:v>
                </c:pt>
                <c:pt idx="347">
                  <c:v>59.253</c:v>
                </c:pt>
                <c:pt idx="348">
                  <c:v>59.257499999999993</c:v>
                </c:pt>
                <c:pt idx="349">
                  <c:v>59.392999999999994</c:v>
                </c:pt>
                <c:pt idx="350">
                  <c:v>59.43950000000001</c:v>
                </c:pt>
                <c:pt idx="351">
                  <c:v>59.451000000000008</c:v>
                </c:pt>
                <c:pt idx="352">
                  <c:v>59.488</c:v>
                </c:pt>
                <c:pt idx="353">
                  <c:v>59.544499999999992</c:v>
                </c:pt>
                <c:pt idx="354">
                  <c:v>59.732499999999995</c:v>
                </c:pt>
                <c:pt idx="355">
                  <c:v>59.857500000000002</c:v>
                </c:pt>
                <c:pt idx="356">
                  <c:v>59.952500000000001</c:v>
                </c:pt>
                <c:pt idx="357">
                  <c:v>59.910499999999992</c:v>
                </c:pt>
                <c:pt idx="358">
                  <c:v>59.815499999999986</c:v>
                </c:pt>
                <c:pt idx="359">
                  <c:v>59.724499999999992</c:v>
                </c:pt>
                <c:pt idx="360">
                  <c:v>59.588000000000001</c:v>
                </c:pt>
                <c:pt idx="361">
                  <c:v>59.534500000000001</c:v>
                </c:pt>
                <c:pt idx="362">
                  <c:v>59.4255</c:v>
                </c:pt>
                <c:pt idx="363">
                  <c:v>59.14200000000001</c:v>
                </c:pt>
                <c:pt idx="364">
                  <c:v>58.750999999999991</c:v>
                </c:pt>
                <c:pt idx="365">
                  <c:v>58.263499999999986</c:v>
                </c:pt>
                <c:pt idx="366">
                  <c:v>57.864499999999985</c:v>
                </c:pt>
                <c:pt idx="367">
                  <c:v>57.503499999999995</c:v>
                </c:pt>
                <c:pt idx="368">
                  <c:v>57.136499999999998</c:v>
                </c:pt>
                <c:pt idx="369">
                  <c:v>56.788499999999999</c:v>
                </c:pt>
                <c:pt idx="370">
                  <c:v>56.363999999999997</c:v>
                </c:pt>
                <c:pt idx="371">
                  <c:v>55.888500000000008</c:v>
                </c:pt>
                <c:pt idx="372">
                  <c:v>55.451499999999996</c:v>
                </c:pt>
                <c:pt idx="373">
                  <c:v>54.956499999999991</c:v>
                </c:pt>
                <c:pt idx="374">
                  <c:v>54.433499999999995</c:v>
                </c:pt>
                <c:pt idx="375">
                  <c:v>53.896499999999989</c:v>
                </c:pt>
                <c:pt idx="376">
                  <c:v>53.322500000000005</c:v>
                </c:pt>
                <c:pt idx="377">
                  <c:v>52.750999999999998</c:v>
                </c:pt>
                <c:pt idx="378">
                  <c:v>52.192499999999995</c:v>
                </c:pt>
                <c:pt idx="379">
                  <c:v>51.616999999999997</c:v>
                </c:pt>
                <c:pt idx="380">
                  <c:v>51.208500000000001</c:v>
                </c:pt>
                <c:pt idx="381">
                  <c:v>50.788499999999999</c:v>
                </c:pt>
                <c:pt idx="382">
                  <c:v>50.297499999999999</c:v>
                </c:pt>
                <c:pt idx="383">
                  <c:v>49.935999999999993</c:v>
                </c:pt>
                <c:pt idx="384">
                  <c:v>49.606999999999999</c:v>
                </c:pt>
                <c:pt idx="385">
                  <c:v>49.283000000000001</c:v>
                </c:pt>
                <c:pt idx="386">
                  <c:v>48.879499999999993</c:v>
                </c:pt>
                <c:pt idx="387">
                  <c:v>48.435999999999993</c:v>
                </c:pt>
                <c:pt idx="388">
                  <c:v>48.073499999999989</c:v>
                </c:pt>
                <c:pt idx="389">
                  <c:v>47.576500000000003</c:v>
                </c:pt>
                <c:pt idx="390">
                  <c:v>47.167500000000004</c:v>
                </c:pt>
                <c:pt idx="391">
                  <c:v>46.735999999999997</c:v>
                </c:pt>
                <c:pt idx="392">
                  <c:v>46.314499999999995</c:v>
                </c:pt>
                <c:pt idx="393">
                  <c:v>45.905499999999996</c:v>
                </c:pt>
                <c:pt idx="394">
                  <c:v>45.505000000000003</c:v>
                </c:pt>
                <c:pt idx="395">
                  <c:v>45.079000000000001</c:v>
                </c:pt>
                <c:pt idx="396">
                  <c:v>44.723500000000008</c:v>
                </c:pt>
                <c:pt idx="397">
                  <c:v>44.347000000000001</c:v>
                </c:pt>
                <c:pt idx="398">
                  <c:v>43.899500000000003</c:v>
                </c:pt>
                <c:pt idx="399">
                  <c:v>43.458500000000001</c:v>
                </c:pt>
                <c:pt idx="400">
                  <c:v>42.945000000000007</c:v>
                </c:pt>
                <c:pt idx="401">
                  <c:v>42.64200000000001</c:v>
                </c:pt>
                <c:pt idx="402">
                  <c:v>42.551000000000002</c:v>
                </c:pt>
                <c:pt idx="403">
                  <c:v>42.748500000000007</c:v>
                </c:pt>
                <c:pt idx="404">
                  <c:v>42.730000000000004</c:v>
                </c:pt>
                <c:pt idx="405">
                  <c:v>42.788499999999999</c:v>
                </c:pt>
                <c:pt idx="406">
                  <c:v>42.891499999999994</c:v>
                </c:pt>
                <c:pt idx="407">
                  <c:v>42.998999999999995</c:v>
                </c:pt>
                <c:pt idx="408">
                  <c:v>43.047999999999995</c:v>
                </c:pt>
                <c:pt idx="409">
                  <c:v>43.098999999999997</c:v>
                </c:pt>
                <c:pt idx="410">
                  <c:v>43.230499999999992</c:v>
                </c:pt>
                <c:pt idx="411">
                  <c:v>43.354499999999994</c:v>
                </c:pt>
                <c:pt idx="412">
                  <c:v>43.435499999999998</c:v>
                </c:pt>
                <c:pt idx="413">
                  <c:v>43.567999999999998</c:v>
                </c:pt>
                <c:pt idx="414">
                  <c:v>43.795000000000002</c:v>
                </c:pt>
                <c:pt idx="415">
                  <c:v>44.103999999999999</c:v>
                </c:pt>
                <c:pt idx="416">
                  <c:v>44.289500000000004</c:v>
                </c:pt>
                <c:pt idx="417">
                  <c:v>44.600500000000004</c:v>
                </c:pt>
                <c:pt idx="418">
                  <c:v>44.998000000000005</c:v>
                </c:pt>
                <c:pt idx="419">
                  <c:v>45.266999999999996</c:v>
                </c:pt>
                <c:pt idx="420">
                  <c:v>45.588999999999999</c:v>
                </c:pt>
                <c:pt idx="421">
                  <c:v>45.742999999999995</c:v>
                </c:pt>
                <c:pt idx="422">
                  <c:v>45.698499999999981</c:v>
                </c:pt>
                <c:pt idx="423">
                  <c:v>45.500499999999995</c:v>
                </c:pt>
                <c:pt idx="424">
                  <c:v>45.48449999999999</c:v>
                </c:pt>
                <c:pt idx="425">
                  <c:v>45.406999999999996</c:v>
                </c:pt>
                <c:pt idx="426">
                  <c:v>45.346499999999992</c:v>
                </c:pt>
                <c:pt idx="427">
                  <c:v>45.359500000000004</c:v>
                </c:pt>
                <c:pt idx="428">
                  <c:v>45.489999999999995</c:v>
                </c:pt>
                <c:pt idx="429">
                  <c:v>45.67649999999999</c:v>
                </c:pt>
                <c:pt idx="430">
                  <c:v>45.856999999999999</c:v>
                </c:pt>
                <c:pt idx="431">
                  <c:v>46.102999999999994</c:v>
                </c:pt>
                <c:pt idx="432">
                  <c:v>46.254000000000005</c:v>
                </c:pt>
                <c:pt idx="433">
                  <c:v>46.36</c:v>
                </c:pt>
                <c:pt idx="434">
                  <c:v>46.335500000000003</c:v>
                </c:pt>
                <c:pt idx="435">
                  <c:v>46.308000000000007</c:v>
                </c:pt>
                <c:pt idx="436">
                  <c:v>46.4375</c:v>
                </c:pt>
                <c:pt idx="437">
                  <c:v>46.399500000000003</c:v>
                </c:pt>
                <c:pt idx="438">
                  <c:v>46.383000000000003</c:v>
                </c:pt>
                <c:pt idx="439">
                  <c:v>46.417500000000004</c:v>
                </c:pt>
                <c:pt idx="440">
                  <c:v>46.415500000000002</c:v>
                </c:pt>
                <c:pt idx="441">
                  <c:v>46.333500000000001</c:v>
                </c:pt>
                <c:pt idx="442">
                  <c:v>46.273000000000003</c:v>
                </c:pt>
                <c:pt idx="443">
                  <c:v>46.171500000000002</c:v>
                </c:pt>
                <c:pt idx="444">
                  <c:v>46.214999999999989</c:v>
                </c:pt>
                <c:pt idx="445">
                  <c:v>46.278499999999994</c:v>
                </c:pt>
                <c:pt idx="446">
                  <c:v>46.331499999999991</c:v>
                </c:pt>
                <c:pt idx="447">
                  <c:v>46.323499999999996</c:v>
                </c:pt>
                <c:pt idx="448">
                  <c:v>46.290999999999997</c:v>
                </c:pt>
                <c:pt idx="449">
                  <c:v>46.214000000000006</c:v>
                </c:pt>
                <c:pt idx="450">
                  <c:v>46.0045</c:v>
                </c:pt>
                <c:pt idx="451">
                  <c:v>45.737000000000002</c:v>
                </c:pt>
                <c:pt idx="452">
                  <c:v>45.576000000000001</c:v>
                </c:pt>
                <c:pt idx="453">
                  <c:v>45.452500000000001</c:v>
                </c:pt>
                <c:pt idx="454">
                  <c:v>45.268500000000003</c:v>
                </c:pt>
                <c:pt idx="455">
                  <c:v>45.036500000000004</c:v>
                </c:pt>
                <c:pt idx="456">
                  <c:v>44.706000000000003</c:v>
                </c:pt>
                <c:pt idx="457">
                  <c:v>44.494500000000002</c:v>
                </c:pt>
                <c:pt idx="458">
                  <c:v>44.239000000000004</c:v>
                </c:pt>
                <c:pt idx="459">
                  <c:v>44.015500000000003</c:v>
                </c:pt>
                <c:pt idx="460">
                  <c:v>43.797999999999995</c:v>
                </c:pt>
                <c:pt idx="461">
                  <c:v>43.571999999999989</c:v>
                </c:pt>
                <c:pt idx="462">
                  <c:v>43.375999999999998</c:v>
                </c:pt>
                <c:pt idx="463">
                  <c:v>43.26</c:v>
                </c:pt>
                <c:pt idx="464">
                  <c:v>43.024499999999996</c:v>
                </c:pt>
                <c:pt idx="465">
                  <c:v>42.784499999999994</c:v>
                </c:pt>
                <c:pt idx="466">
                  <c:v>42.482999999999997</c:v>
                </c:pt>
                <c:pt idx="467">
                  <c:v>42.198500000000003</c:v>
                </c:pt>
                <c:pt idx="468">
                  <c:v>41.833500000000001</c:v>
                </c:pt>
                <c:pt idx="469">
                  <c:v>41.514000000000003</c:v>
                </c:pt>
                <c:pt idx="470">
                  <c:v>41.304500000000004</c:v>
                </c:pt>
                <c:pt idx="471">
                  <c:v>41.088500000000003</c:v>
                </c:pt>
                <c:pt idx="472">
                  <c:v>40.777000000000001</c:v>
                </c:pt>
                <c:pt idx="473">
                  <c:v>40.438499999999998</c:v>
                </c:pt>
                <c:pt idx="474">
                  <c:v>40.149000000000001</c:v>
                </c:pt>
                <c:pt idx="475">
                  <c:v>39.9</c:v>
                </c:pt>
                <c:pt idx="476">
                  <c:v>39.648000000000003</c:v>
                </c:pt>
                <c:pt idx="477">
                  <c:v>39.379499999999993</c:v>
                </c:pt>
                <c:pt idx="478">
                  <c:v>39.208999999999996</c:v>
                </c:pt>
                <c:pt idx="479">
                  <c:v>38.948999999999998</c:v>
                </c:pt>
                <c:pt idx="480">
                  <c:v>38.670499999999997</c:v>
                </c:pt>
                <c:pt idx="481">
                  <c:v>38.436999999999998</c:v>
                </c:pt>
                <c:pt idx="482">
                  <c:v>38.200999999999993</c:v>
                </c:pt>
                <c:pt idx="483">
                  <c:v>37.962499999999999</c:v>
                </c:pt>
                <c:pt idx="484">
                  <c:v>37.739499999999992</c:v>
                </c:pt>
                <c:pt idx="485">
                  <c:v>37.559499999999993</c:v>
                </c:pt>
                <c:pt idx="486">
                  <c:v>37.348999999999997</c:v>
                </c:pt>
                <c:pt idx="487">
                  <c:v>37.186842105263153</c:v>
                </c:pt>
                <c:pt idx="488">
                  <c:v>36.998333333333328</c:v>
                </c:pt>
                <c:pt idx="489">
                  <c:v>36.825882352941171</c:v>
                </c:pt>
                <c:pt idx="490">
                  <c:v>36.56</c:v>
                </c:pt>
                <c:pt idx="491">
                  <c:v>36.330666666666666</c:v>
                </c:pt>
                <c:pt idx="492">
                  <c:v>36.237142857142857</c:v>
                </c:pt>
                <c:pt idx="493">
                  <c:v>36.143076923076926</c:v>
                </c:pt>
                <c:pt idx="494">
                  <c:v>36.05833333333333</c:v>
                </c:pt>
                <c:pt idx="495">
                  <c:v>35.994545454545452</c:v>
                </c:pt>
                <c:pt idx="496">
                  <c:v>36.029000000000003</c:v>
                </c:pt>
                <c:pt idx="497">
                  <c:v>35.997777777777777</c:v>
                </c:pt>
                <c:pt idx="498">
                  <c:v>35.832500000000003</c:v>
                </c:pt>
                <c:pt idx="499">
                  <c:v>35.872857142857136</c:v>
                </c:pt>
                <c:pt idx="500">
                  <c:v>36.021666666666668</c:v>
                </c:pt>
                <c:pt idx="501">
                  <c:v>36.281999999999996</c:v>
                </c:pt>
                <c:pt idx="502">
                  <c:v>36.715000000000003</c:v>
                </c:pt>
                <c:pt idx="503">
                  <c:v>36.913333333333334</c:v>
                </c:pt>
                <c:pt idx="504">
                  <c:v>36.989999999999995</c:v>
                </c:pt>
                <c:pt idx="505">
                  <c:v>36.36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0D-453F-BC5F-23C1D767B28E}"/>
            </c:ext>
          </c:extLst>
        </c:ser>
        <c:ser>
          <c:idx val="2"/>
          <c:order val="2"/>
          <c:tx>
            <c:v>Min 50 days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'WTI Analysis'!$E$2:$E$507</c:f>
              <c:numCache>
                <c:formatCode>General</c:formatCode>
                <c:ptCount val="506"/>
                <c:pt idx="0">
                  <c:v>91.36</c:v>
                </c:pt>
                <c:pt idx="1">
                  <c:v>91.36</c:v>
                </c:pt>
                <c:pt idx="2">
                  <c:v>91.36</c:v>
                </c:pt>
                <c:pt idx="3">
                  <c:v>91.36</c:v>
                </c:pt>
                <c:pt idx="4">
                  <c:v>91.36</c:v>
                </c:pt>
                <c:pt idx="5">
                  <c:v>91.36</c:v>
                </c:pt>
                <c:pt idx="6">
                  <c:v>91.45</c:v>
                </c:pt>
                <c:pt idx="7">
                  <c:v>91.45</c:v>
                </c:pt>
                <c:pt idx="8">
                  <c:v>92.15</c:v>
                </c:pt>
                <c:pt idx="9">
                  <c:v>93.54</c:v>
                </c:pt>
                <c:pt idx="10">
                  <c:v>93.54</c:v>
                </c:pt>
                <c:pt idx="11">
                  <c:v>93.96</c:v>
                </c:pt>
                <c:pt idx="12">
                  <c:v>94.51</c:v>
                </c:pt>
                <c:pt idx="13">
                  <c:v>95.82</c:v>
                </c:pt>
                <c:pt idx="14">
                  <c:v>95.82</c:v>
                </c:pt>
                <c:pt idx="15">
                  <c:v>95.82</c:v>
                </c:pt>
                <c:pt idx="16">
                  <c:v>95.82</c:v>
                </c:pt>
                <c:pt idx="17">
                  <c:v>96.44</c:v>
                </c:pt>
                <c:pt idx="18">
                  <c:v>96.44</c:v>
                </c:pt>
                <c:pt idx="19">
                  <c:v>96.44</c:v>
                </c:pt>
                <c:pt idx="20">
                  <c:v>96.44</c:v>
                </c:pt>
                <c:pt idx="21">
                  <c:v>96.44</c:v>
                </c:pt>
                <c:pt idx="22">
                  <c:v>97.24</c:v>
                </c:pt>
                <c:pt idx="23">
                  <c:v>97.4</c:v>
                </c:pt>
                <c:pt idx="24">
                  <c:v>97.84</c:v>
                </c:pt>
                <c:pt idx="25">
                  <c:v>98.29</c:v>
                </c:pt>
                <c:pt idx="26">
                  <c:v>98.29</c:v>
                </c:pt>
                <c:pt idx="27">
                  <c:v>98.29</c:v>
                </c:pt>
                <c:pt idx="28">
                  <c:v>98.29</c:v>
                </c:pt>
                <c:pt idx="29">
                  <c:v>98.29</c:v>
                </c:pt>
                <c:pt idx="30">
                  <c:v>98.29</c:v>
                </c:pt>
                <c:pt idx="31">
                  <c:v>98.29</c:v>
                </c:pt>
                <c:pt idx="32">
                  <c:v>98.29</c:v>
                </c:pt>
                <c:pt idx="33">
                  <c:v>98.29</c:v>
                </c:pt>
                <c:pt idx="34">
                  <c:v>98.29</c:v>
                </c:pt>
                <c:pt idx="35">
                  <c:v>98.29</c:v>
                </c:pt>
                <c:pt idx="36">
                  <c:v>98.29</c:v>
                </c:pt>
                <c:pt idx="37">
                  <c:v>98.29</c:v>
                </c:pt>
                <c:pt idx="38">
                  <c:v>98.29</c:v>
                </c:pt>
                <c:pt idx="39">
                  <c:v>98.29</c:v>
                </c:pt>
                <c:pt idx="40">
                  <c:v>98.29</c:v>
                </c:pt>
                <c:pt idx="41">
                  <c:v>98.29</c:v>
                </c:pt>
                <c:pt idx="42">
                  <c:v>98.29</c:v>
                </c:pt>
                <c:pt idx="43">
                  <c:v>98.29</c:v>
                </c:pt>
                <c:pt idx="44">
                  <c:v>98.29</c:v>
                </c:pt>
                <c:pt idx="45">
                  <c:v>98.29</c:v>
                </c:pt>
                <c:pt idx="46">
                  <c:v>98.29</c:v>
                </c:pt>
                <c:pt idx="47">
                  <c:v>98.29</c:v>
                </c:pt>
                <c:pt idx="48">
                  <c:v>98.43</c:v>
                </c:pt>
                <c:pt idx="49">
                  <c:v>98.43</c:v>
                </c:pt>
                <c:pt idx="50">
                  <c:v>98.43</c:v>
                </c:pt>
                <c:pt idx="51">
                  <c:v>99.6</c:v>
                </c:pt>
                <c:pt idx="52">
                  <c:v>99.6</c:v>
                </c:pt>
                <c:pt idx="53">
                  <c:v>99.6</c:v>
                </c:pt>
                <c:pt idx="54">
                  <c:v>99.6</c:v>
                </c:pt>
                <c:pt idx="55">
                  <c:v>99.6</c:v>
                </c:pt>
                <c:pt idx="56">
                  <c:v>99.6</c:v>
                </c:pt>
                <c:pt idx="57">
                  <c:v>99.6</c:v>
                </c:pt>
                <c:pt idx="58">
                  <c:v>99.6</c:v>
                </c:pt>
                <c:pt idx="59">
                  <c:v>99.6</c:v>
                </c:pt>
                <c:pt idx="60">
                  <c:v>99.6</c:v>
                </c:pt>
                <c:pt idx="61">
                  <c:v>99.6</c:v>
                </c:pt>
                <c:pt idx="62">
                  <c:v>99.6</c:v>
                </c:pt>
                <c:pt idx="63">
                  <c:v>99.69</c:v>
                </c:pt>
                <c:pt idx="64">
                  <c:v>99.69</c:v>
                </c:pt>
                <c:pt idx="65">
                  <c:v>99.69</c:v>
                </c:pt>
                <c:pt idx="66">
                  <c:v>99.69</c:v>
                </c:pt>
                <c:pt idx="67">
                  <c:v>99.69</c:v>
                </c:pt>
                <c:pt idx="68">
                  <c:v>99.69</c:v>
                </c:pt>
                <c:pt idx="69">
                  <c:v>99.69</c:v>
                </c:pt>
                <c:pt idx="70">
                  <c:v>99.69</c:v>
                </c:pt>
                <c:pt idx="71">
                  <c:v>99.69</c:v>
                </c:pt>
                <c:pt idx="72">
                  <c:v>99.69</c:v>
                </c:pt>
                <c:pt idx="73">
                  <c:v>99.69</c:v>
                </c:pt>
                <c:pt idx="74">
                  <c:v>99.69</c:v>
                </c:pt>
                <c:pt idx="75">
                  <c:v>99.69</c:v>
                </c:pt>
                <c:pt idx="76">
                  <c:v>99.69</c:v>
                </c:pt>
                <c:pt idx="77">
                  <c:v>99.69</c:v>
                </c:pt>
                <c:pt idx="78">
                  <c:v>99.69</c:v>
                </c:pt>
                <c:pt idx="79">
                  <c:v>99.69</c:v>
                </c:pt>
                <c:pt idx="80">
                  <c:v>99.69</c:v>
                </c:pt>
                <c:pt idx="81">
                  <c:v>99.69</c:v>
                </c:pt>
                <c:pt idx="82">
                  <c:v>99.69</c:v>
                </c:pt>
                <c:pt idx="83">
                  <c:v>99.74</c:v>
                </c:pt>
                <c:pt idx="84">
                  <c:v>99.74</c:v>
                </c:pt>
                <c:pt idx="85">
                  <c:v>99.81</c:v>
                </c:pt>
                <c:pt idx="86">
                  <c:v>100.32</c:v>
                </c:pt>
                <c:pt idx="87">
                  <c:v>100.32</c:v>
                </c:pt>
                <c:pt idx="88">
                  <c:v>100.32</c:v>
                </c:pt>
                <c:pt idx="89">
                  <c:v>100.56</c:v>
                </c:pt>
                <c:pt idx="90">
                  <c:v>100.56</c:v>
                </c:pt>
                <c:pt idx="91">
                  <c:v>100.56</c:v>
                </c:pt>
                <c:pt idx="92">
                  <c:v>100.56</c:v>
                </c:pt>
                <c:pt idx="93">
                  <c:v>100.56</c:v>
                </c:pt>
                <c:pt idx="94">
                  <c:v>100.56</c:v>
                </c:pt>
                <c:pt idx="95">
                  <c:v>100.56</c:v>
                </c:pt>
                <c:pt idx="96">
                  <c:v>98.23</c:v>
                </c:pt>
                <c:pt idx="97">
                  <c:v>97.86</c:v>
                </c:pt>
                <c:pt idx="98">
                  <c:v>97.86</c:v>
                </c:pt>
                <c:pt idx="99">
                  <c:v>97.34</c:v>
                </c:pt>
                <c:pt idx="100">
                  <c:v>96.93</c:v>
                </c:pt>
                <c:pt idx="101">
                  <c:v>96.93</c:v>
                </c:pt>
                <c:pt idx="102">
                  <c:v>96.93</c:v>
                </c:pt>
                <c:pt idx="103">
                  <c:v>96.93</c:v>
                </c:pt>
                <c:pt idx="104">
                  <c:v>96.93</c:v>
                </c:pt>
                <c:pt idx="105">
                  <c:v>96.93</c:v>
                </c:pt>
                <c:pt idx="106">
                  <c:v>95.54</c:v>
                </c:pt>
                <c:pt idx="107">
                  <c:v>95.54</c:v>
                </c:pt>
                <c:pt idx="108">
                  <c:v>95.54</c:v>
                </c:pt>
                <c:pt idx="109">
                  <c:v>94.35</c:v>
                </c:pt>
                <c:pt idx="110">
                  <c:v>94.35</c:v>
                </c:pt>
                <c:pt idx="111">
                  <c:v>93.97</c:v>
                </c:pt>
                <c:pt idx="112">
                  <c:v>93.61</c:v>
                </c:pt>
                <c:pt idx="113">
                  <c:v>93.61</c:v>
                </c:pt>
                <c:pt idx="114">
                  <c:v>93.61</c:v>
                </c:pt>
                <c:pt idx="115">
                  <c:v>93.61</c:v>
                </c:pt>
                <c:pt idx="116">
                  <c:v>93.61</c:v>
                </c:pt>
                <c:pt idx="117">
                  <c:v>93.61</c:v>
                </c:pt>
                <c:pt idx="118">
                  <c:v>92.92</c:v>
                </c:pt>
                <c:pt idx="119">
                  <c:v>92.92</c:v>
                </c:pt>
                <c:pt idx="120">
                  <c:v>92.92</c:v>
                </c:pt>
                <c:pt idx="121">
                  <c:v>92.92</c:v>
                </c:pt>
                <c:pt idx="122">
                  <c:v>92.64</c:v>
                </c:pt>
                <c:pt idx="123">
                  <c:v>92.64</c:v>
                </c:pt>
                <c:pt idx="124">
                  <c:v>91.71</c:v>
                </c:pt>
                <c:pt idx="125">
                  <c:v>91.71</c:v>
                </c:pt>
                <c:pt idx="126">
                  <c:v>91.71</c:v>
                </c:pt>
                <c:pt idx="127">
                  <c:v>91.71</c:v>
                </c:pt>
                <c:pt idx="128">
                  <c:v>91.71</c:v>
                </c:pt>
                <c:pt idx="129">
                  <c:v>91.71</c:v>
                </c:pt>
                <c:pt idx="130">
                  <c:v>91.71</c:v>
                </c:pt>
                <c:pt idx="131">
                  <c:v>91.71</c:v>
                </c:pt>
                <c:pt idx="132">
                  <c:v>91.46</c:v>
                </c:pt>
                <c:pt idx="133">
                  <c:v>91.46</c:v>
                </c:pt>
                <c:pt idx="134">
                  <c:v>91.46</c:v>
                </c:pt>
                <c:pt idx="135">
                  <c:v>91.46</c:v>
                </c:pt>
                <c:pt idx="136">
                  <c:v>91.46</c:v>
                </c:pt>
                <c:pt idx="137">
                  <c:v>91.46</c:v>
                </c:pt>
                <c:pt idx="138">
                  <c:v>91.17</c:v>
                </c:pt>
                <c:pt idx="139">
                  <c:v>90.74</c:v>
                </c:pt>
                <c:pt idx="140">
                  <c:v>90.74</c:v>
                </c:pt>
                <c:pt idx="141">
                  <c:v>89.76</c:v>
                </c:pt>
                <c:pt idx="142">
                  <c:v>89.76</c:v>
                </c:pt>
                <c:pt idx="143">
                  <c:v>88.89</c:v>
                </c:pt>
                <c:pt idx="144">
                  <c:v>87.29</c:v>
                </c:pt>
                <c:pt idx="145">
                  <c:v>85.76</c:v>
                </c:pt>
                <c:pt idx="146">
                  <c:v>85.76</c:v>
                </c:pt>
                <c:pt idx="147">
                  <c:v>85.73</c:v>
                </c:pt>
                <c:pt idx="148">
                  <c:v>81.72</c:v>
                </c:pt>
                <c:pt idx="149">
                  <c:v>81.72</c:v>
                </c:pt>
                <c:pt idx="150">
                  <c:v>81.72</c:v>
                </c:pt>
                <c:pt idx="151">
                  <c:v>81.72</c:v>
                </c:pt>
                <c:pt idx="152">
                  <c:v>81.72</c:v>
                </c:pt>
                <c:pt idx="153">
                  <c:v>81.72</c:v>
                </c:pt>
                <c:pt idx="154">
                  <c:v>80.52</c:v>
                </c:pt>
                <c:pt idx="155">
                  <c:v>80.52</c:v>
                </c:pt>
                <c:pt idx="156">
                  <c:v>80.52</c:v>
                </c:pt>
                <c:pt idx="157">
                  <c:v>80.52</c:v>
                </c:pt>
                <c:pt idx="158">
                  <c:v>80.52</c:v>
                </c:pt>
                <c:pt idx="159">
                  <c:v>80.52</c:v>
                </c:pt>
                <c:pt idx="160">
                  <c:v>80.52</c:v>
                </c:pt>
                <c:pt idx="161">
                  <c:v>80.52</c:v>
                </c:pt>
                <c:pt idx="162">
                  <c:v>78.77</c:v>
                </c:pt>
                <c:pt idx="163">
                  <c:v>77.150000000000006</c:v>
                </c:pt>
                <c:pt idx="164">
                  <c:v>77.150000000000006</c:v>
                </c:pt>
                <c:pt idx="165">
                  <c:v>77.150000000000006</c:v>
                </c:pt>
                <c:pt idx="166">
                  <c:v>77.150000000000006</c:v>
                </c:pt>
                <c:pt idx="167">
                  <c:v>77.150000000000006</c:v>
                </c:pt>
                <c:pt idx="168">
                  <c:v>77.150000000000006</c:v>
                </c:pt>
                <c:pt idx="169">
                  <c:v>77.150000000000006</c:v>
                </c:pt>
                <c:pt idx="170">
                  <c:v>74.13</c:v>
                </c:pt>
                <c:pt idx="171">
                  <c:v>74.13</c:v>
                </c:pt>
                <c:pt idx="172">
                  <c:v>74.13</c:v>
                </c:pt>
                <c:pt idx="173">
                  <c:v>74.13</c:v>
                </c:pt>
                <c:pt idx="174">
                  <c:v>74.13</c:v>
                </c:pt>
                <c:pt idx="175">
                  <c:v>74.13</c:v>
                </c:pt>
                <c:pt idx="176">
                  <c:v>74.13</c:v>
                </c:pt>
                <c:pt idx="177">
                  <c:v>74.13</c:v>
                </c:pt>
                <c:pt idx="178">
                  <c:v>74.040000000000006</c:v>
                </c:pt>
                <c:pt idx="179">
                  <c:v>73.7</c:v>
                </c:pt>
                <c:pt idx="180">
                  <c:v>65.94</c:v>
                </c:pt>
                <c:pt idx="181">
                  <c:v>65.94</c:v>
                </c:pt>
                <c:pt idx="182">
                  <c:v>65.94</c:v>
                </c:pt>
                <c:pt idx="183">
                  <c:v>65.94</c:v>
                </c:pt>
                <c:pt idx="184">
                  <c:v>65.94</c:v>
                </c:pt>
                <c:pt idx="185">
                  <c:v>65.89</c:v>
                </c:pt>
                <c:pt idx="186">
                  <c:v>63.13</c:v>
                </c:pt>
                <c:pt idx="187">
                  <c:v>63.13</c:v>
                </c:pt>
                <c:pt idx="188">
                  <c:v>60.99</c:v>
                </c:pt>
                <c:pt idx="189">
                  <c:v>60.01</c:v>
                </c:pt>
                <c:pt idx="190">
                  <c:v>57.81</c:v>
                </c:pt>
                <c:pt idx="191">
                  <c:v>55.96</c:v>
                </c:pt>
                <c:pt idx="192">
                  <c:v>55.96</c:v>
                </c:pt>
                <c:pt idx="193">
                  <c:v>55.96</c:v>
                </c:pt>
                <c:pt idx="194">
                  <c:v>54.18</c:v>
                </c:pt>
                <c:pt idx="195">
                  <c:v>54.18</c:v>
                </c:pt>
                <c:pt idx="196">
                  <c:v>54.18</c:v>
                </c:pt>
                <c:pt idx="197">
                  <c:v>54.18</c:v>
                </c:pt>
                <c:pt idx="198">
                  <c:v>54.18</c:v>
                </c:pt>
                <c:pt idx="199">
                  <c:v>54.18</c:v>
                </c:pt>
                <c:pt idx="200">
                  <c:v>53.46</c:v>
                </c:pt>
                <c:pt idx="201">
                  <c:v>53.46</c:v>
                </c:pt>
                <c:pt idx="202">
                  <c:v>53.45</c:v>
                </c:pt>
                <c:pt idx="203">
                  <c:v>52.72</c:v>
                </c:pt>
                <c:pt idx="204">
                  <c:v>50.05</c:v>
                </c:pt>
                <c:pt idx="205">
                  <c:v>47.98</c:v>
                </c:pt>
                <c:pt idx="206">
                  <c:v>47.98</c:v>
                </c:pt>
                <c:pt idx="207">
                  <c:v>47.98</c:v>
                </c:pt>
                <c:pt idx="208">
                  <c:v>47.98</c:v>
                </c:pt>
                <c:pt idx="209">
                  <c:v>46.06</c:v>
                </c:pt>
                <c:pt idx="210">
                  <c:v>45.92</c:v>
                </c:pt>
                <c:pt idx="211">
                  <c:v>45.92</c:v>
                </c:pt>
                <c:pt idx="212">
                  <c:v>45.92</c:v>
                </c:pt>
                <c:pt idx="213">
                  <c:v>45.92</c:v>
                </c:pt>
                <c:pt idx="214">
                  <c:v>45.92</c:v>
                </c:pt>
                <c:pt idx="215">
                  <c:v>45.92</c:v>
                </c:pt>
                <c:pt idx="216">
                  <c:v>45.92</c:v>
                </c:pt>
                <c:pt idx="217">
                  <c:v>45.26</c:v>
                </c:pt>
                <c:pt idx="218">
                  <c:v>44.8</c:v>
                </c:pt>
                <c:pt idx="219">
                  <c:v>44.8</c:v>
                </c:pt>
                <c:pt idx="220">
                  <c:v>44.08</c:v>
                </c:pt>
                <c:pt idx="221">
                  <c:v>44.08</c:v>
                </c:pt>
                <c:pt idx="222">
                  <c:v>44.08</c:v>
                </c:pt>
                <c:pt idx="223">
                  <c:v>44.08</c:v>
                </c:pt>
                <c:pt idx="224">
                  <c:v>44.08</c:v>
                </c:pt>
                <c:pt idx="225">
                  <c:v>44.08</c:v>
                </c:pt>
                <c:pt idx="226">
                  <c:v>44.08</c:v>
                </c:pt>
                <c:pt idx="227">
                  <c:v>44.08</c:v>
                </c:pt>
                <c:pt idx="228">
                  <c:v>44.08</c:v>
                </c:pt>
                <c:pt idx="229">
                  <c:v>44.08</c:v>
                </c:pt>
                <c:pt idx="230">
                  <c:v>44.08</c:v>
                </c:pt>
                <c:pt idx="231">
                  <c:v>44.08</c:v>
                </c:pt>
                <c:pt idx="232">
                  <c:v>44.08</c:v>
                </c:pt>
                <c:pt idx="233">
                  <c:v>44.08</c:v>
                </c:pt>
                <c:pt idx="234">
                  <c:v>44.08</c:v>
                </c:pt>
                <c:pt idx="235">
                  <c:v>44.08</c:v>
                </c:pt>
                <c:pt idx="236">
                  <c:v>44.08</c:v>
                </c:pt>
                <c:pt idx="237">
                  <c:v>44.08</c:v>
                </c:pt>
                <c:pt idx="238">
                  <c:v>44.08</c:v>
                </c:pt>
                <c:pt idx="239">
                  <c:v>44.08</c:v>
                </c:pt>
                <c:pt idx="240">
                  <c:v>44.08</c:v>
                </c:pt>
                <c:pt idx="241">
                  <c:v>44.08</c:v>
                </c:pt>
                <c:pt idx="242">
                  <c:v>44.08</c:v>
                </c:pt>
                <c:pt idx="243">
                  <c:v>44.08</c:v>
                </c:pt>
                <c:pt idx="244">
                  <c:v>44.08</c:v>
                </c:pt>
                <c:pt idx="245">
                  <c:v>44.08</c:v>
                </c:pt>
                <c:pt idx="246">
                  <c:v>44.08</c:v>
                </c:pt>
                <c:pt idx="247">
                  <c:v>44.08</c:v>
                </c:pt>
                <c:pt idx="248">
                  <c:v>44.08</c:v>
                </c:pt>
                <c:pt idx="249">
                  <c:v>44.08</c:v>
                </c:pt>
                <c:pt idx="250">
                  <c:v>44.08</c:v>
                </c:pt>
                <c:pt idx="251">
                  <c:v>44.08</c:v>
                </c:pt>
                <c:pt idx="252">
                  <c:v>44.08</c:v>
                </c:pt>
                <c:pt idx="253">
                  <c:v>43.93</c:v>
                </c:pt>
                <c:pt idx="254">
                  <c:v>43.39</c:v>
                </c:pt>
                <c:pt idx="255">
                  <c:v>43.39</c:v>
                </c:pt>
                <c:pt idx="256">
                  <c:v>43.39</c:v>
                </c:pt>
                <c:pt idx="257">
                  <c:v>43.39</c:v>
                </c:pt>
                <c:pt idx="258">
                  <c:v>43.39</c:v>
                </c:pt>
                <c:pt idx="259">
                  <c:v>43.39</c:v>
                </c:pt>
                <c:pt idx="260">
                  <c:v>43.39</c:v>
                </c:pt>
                <c:pt idx="261">
                  <c:v>43.39</c:v>
                </c:pt>
                <c:pt idx="262">
                  <c:v>43.39</c:v>
                </c:pt>
                <c:pt idx="263">
                  <c:v>43.39</c:v>
                </c:pt>
                <c:pt idx="264">
                  <c:v>43.39</c:v>
                </c:pt>
                <c:pt idx="265">
                  <c:v>43.39</c:v>
                </c:pt>
                <c:pt idx="266">
                  <c:v>43.39</c:v>
                </c:pt>
                <c:pt idx="267">
                  <c:v>43.39</c:v>
                </c:pt>
                <c:pt idx="268">
                  <c:v>43.39</c:v>
                </c:pt>
                <c:pt idx="269">
                  <c:v>43.39</c:v>
                </c:pt>
                <c:pt idx="270">
                  <c:v>43.39</c:v>
                </c:pt>
                <c:pt idx="271">
                  <c:v>43.39</c:v>
                </c:pt>
                <c:pt idx="272">
                  <c:v>43.39</c:v>
                </c:pt>
                <c:pt idx="273">
                  <c:v>43.39</c:v>
                </c:pt>
                <c:pt idx="274">
                  <c:v>43.39</c:v>
                </c:pt>
                <c:pt idx="275">
                  <c:v>43.39</c:v>
                </c:pt>
                <c:pt idx="276">
                  <c:v>43.39</c:v>
                </c:pt>
                <c:pt idx="277">
                  <c:v>43.39</c:v>
                </c:pt>
                <c:pt idx="278">
                  <c:v>43.39</c:v>
                </c:pt>
                <c:pt idx="279">
                  <c:v>43.39</c:v>
                </c:pt>
                <c:pt idx="280">
                  <c:v>43.39</c:v>
                </c:pt>
                <c:pt idx="281">
                  <c:v>43.39</c:v>
                </c:pt>
                <c:pt idx="282">
                  <c:v>43.39</c:v>
                </c:pt>
                <c:pt idx="283">
                  <c:v>43.39</c:v>
                </c:pt>
                <c:pt idx="284">
                  <c:v>43.39</c:v>
                </c:pt>
                <c:pt idx="285">
                  <c:v>43.39</c:v>
                </c:pt>
                <c:pt idx="286">
                  <c:v>43.39</c:v>
                </c:pt>
                <c:pt idx="287">
                  <c:v>43.39</c:v>
                </c:pt>
                <c:pt idx="288">
                  <c:v>43.39</c:v>
                </c:pt>
                <c:pt idx="289">
                  <c:v>43.39</c:v>
                </c:pt>
                <c:pt idx="290">
                  <c:v>43.39</c:v>
                </c:pt>
                <c:pt idx="291">
                  <c:v>43.39</c:v>
                </c:pt>
                <c:pt idx="292">
                  <c:v>43.39</c:v>
                </c:pt>
                <c:pt idx="293">
                  <c:v>43.39</c:v>
                </c:pt>
                <c:pt idx="294">
                  <c:v>43.39</c:v>
                </c:pt>
                <c:pt idx="295">
                  <c:v>43.39</c:v>
                </c:pt>
                <c:pt idx="296">
                  <c:v>43.39</c:v>
                </c:pt>
                <c:pt idx="297">
                  <c:v>43.39</c:v>
                </c:pt>
                <c:pt idx="298">
                  <c:v>43.39</c:v>
                </c:pt>
                <c:pt idx="299">
                  <c:v>43.39</c:v>
                </c:pt>
                <c:pt idx="300">
                  <c:v>43.39</c:v>
                </c:pt>
                <c:pt idx="301">
                  <c:v>43.39</c:v>
                </c:pt>
                <c:pt idx="302">
                  <c:v>43.39</c:v>
                </c:pt>
                <c:pt idx="303">
                  <c:v>43.39</c:v>
                </c:pt>
                <c:pt idx="304">
                  <c:v>44.02</c:v>
                </c:pt>
                <c:pt idx="305">
                  <c:v>44.02</c:v>
                </c:pt>
                <c:pt idx="306">
                  <c:v>46</c:v>
                </c:pt>
                <c:pt idx="307">
                  <c:v>47.03</c:v>
                </c:pt>
                <c:pt idx="308">
                  <c:v>47.03</c:v>
                </c:pt>
                <c:pt idx="309">
                  <c:v>47.72</c:v>
                </c:pt>
                <c:pt idx="310">
                  <c:v>47.72</c:v>
                </c:pt>
                <c:pt idx="311">
                  <c:v>47.72</c:v>
                </c:pt>
                <c:pt idx="312">
                  <c:v>47.72</c:v>
                </c:pt>
                <c:pt idx="313">
                  <c:v>47.72</c:v>
                </c:pt>
                <c:pt idx="314">
                  <c:v>49.13</c:v>
                </c:pt>
                <c:pt idx="315">
                  <c:v>49.13</c:v>
                </c:pt>
                <c:pt idx="316">
                  <c:v>49.13</c:v>
                </c:pt>
                <c:pt idx="317">
                  <c:v>50.44</c:v>
                </c:pt>
                <c:pt idx="318">
                  <c:v>50.44</c:v>
                </c:pt>
                <c:pt idx="319">
                  <c:v>50.44</c:v>
                </c:pt>
                <c:pt idx="320">
                  <c:v>50.79</c:v>
                </c:pt>
                <c:pt idx="321">
                  <c:v>51.63</c:v>
                </c:pt>
                <c:pt idx="322">
                  <c:v>51.95</c:v>
                </c:pt>
                <c:pt idx="323">
                  <c:v>53.3</c:v>
                </c:pt>
                <c:pt idx="324">
                  <c:v>55.56</c:v>
                </c:pt>
                <c:pt idx="325">
                  <c:v>55.56</c:v>
                </c:pt>
                <c:pt idx="326">
                  <c:v>55.56</c:v>
                </c:pt>
                <c:pt idx="327">
                  <c:v>55.56</c:v>
                </c:pt>
                <c:pt idx="328">
                  <c:v>55.56</c:v>
                </c:pt>
                <c:pt idx="329">
                  <c:v>55.56</c:v>
                </c:pt>
                <c:pt idx="330">
                  <c:v>55.56</c:v>
                </c:pt>
                <c:pt idx="331">
                  <c:v>55.56</c:v>
                </c:pt>
                <c:pt idx="332">
                  <c:v>55.56</c:v>
                </c:pt>
                <c:pt idx="333">
                  <c:v>52.48</c:v>
                </c:pt>
                <c:pt idx="334">
                  <c:v>52.33</c:v>
                </c:pt>
                <c:pt idx="335">
                  <c:v>51.61</c:v>
                </c:pt>
                <c:pt idx="336">
                  <c:v>51.61</c:v>
                </c:pt>
                <c:pt idx="337">
                  <c:v>51.61</c:v>
                </c:pt>
                <c:pt idx="338">
                  <c:v>51.61</c:v>
                </c:pt>
                <c:pt idx="339">
                  <c:v>51.61</c:v>
                </c:pt>
                <c:pt idx="340">
                  <c:v>51.4</c:v>
                </c:pt>
                <c:pt idx="341">
                  <c:v>50.9</c:v>
                </c:pt>
                <c:pt idx="342">
                  <c:v>50.88</c:v>
                </c:pt>
                <c:pt idx="343">
                  <c:v>50.11</c:v>
                </c:pt>
                <c:pt idx="344">
                  <c:v>50.11</c:v>
                </c:pt>
                <c:pt idx="345">
                  <c:v>49.27</c:v>
                </c:pt>
                <c:pt idx="346">
                  <c:v>48.11</c:v>
                </c:pt>
                <c:pt idx="347">
                  <c:v>47.98</c:v>
                </c:pt>
                <c:pt idx="348">
                  <c:v>47.17</c:v>
                </c:pt>
                <c:pt idx="349">
                  <c:v>47.17</c:v>
                </c:pt>
                <c:pt idx="350">
                  <c:v>47.17</c:v>
                </c:pt>
                <c:pt idx="351">
                  <c:v>47.17</c:v>
                </c:pt>
                <c:pt idx="352">
                  <c:v>47.11</c:v>
                </c:pt>
                <c:pt idx="353">
                  <c:v>45.25</c:v>
                </c:pt>
                <c:pt idx="354">
                  <c:v>45.25</c:v>
                </c:pt>
                <c:pt idx="355">
                  <c:v>45.13</c:v>
                </c:pt>
                <c:pt idx="356">
                  <c:v>44.69</c:v>
                </c:pt>
                <c:pt idx="357">
                  <c:v>43.87</c:v>
                </c:pt>
                <c:pt idx="358">
                  <c:v>43.87</c:v>
                </c:pt>
                <c:pt idx="359">
                  <c:v>43.11</c:v>
                </c:pt>
                <c:pt idx="360">
                  <c:v>43.11</c:v>
                </c:pt>
                <c:pt idx="361">
                  <c:v>42.27</c:v>
                </c:pt>
                <c:pt idx="362">
                  <c:v>42.27</c:v>
                </c:pt>
                <c:pt idx="363">
                  <c:v>41.93</c:v>
                </c:pt>
                <c:pt idx="364">
                  <c:v>41.93</c:v>
                </c:pt>
                <c:pt idx="365">
                  <c:v>40.75</c:v>
                </c:pt>
                <c:pt idx="366">
                  <c:v>40.75</c:v>
                </c:pt>
                <c:pt idx="367">
                  <c:v>40.450000000000003</c:v>
                </c:pt>
                <c:pt idx="368">
                  <c:v>38.22</c:v>
                </c:pt>
                <c:pt idx="369">
                  <c:v>38.22</c:v>
                </c:pt>
                <c:pt idx="370">
                  <c:v>38.22</c:v>
                </c:pt>
                <c:pt idx="371">
                  <c:v>38.22</c:v>
                </c:pt>
                <c:pt idx="372">
                  <c:v>38.22</c:v>
                </c:pt>
                <c:pt idx="373">
                  <c:v>38.22</c:v>
                </c:pt>
                <c:pt idx="374">
                  <c:v>38.22</c:v>
                </c:pt>
                <c:pt idx="375">
                  <c:v>38.22</c:v>
                </c:pt>
                <c:pt idx="376">
                  <c:v>38.22</c:v>
                </c:pt>
                <c:pt idx="377">
                  <c:v>38.22</c:v>
                </c:pt>
                <c:pt idx="378">
                  <c:v>38.22</c:v>
                </c:pt>
                <c:pt idx="379">
                  <c:v>38.22</c:v>
                </c:pt>
                <c:pt idx="380">
                  <c:v>38.22</c:v>
                </c:pt>
                <c:pt idx="381">
                  <c:v>38.22</c:v>
                </c:pt>
                <c:pt idx="382">
                  <c:v>38.22</c:v>
                </c:pt>
                <c:pt idx="383">
                  <c:v>38.22</c:v>
                </c:pt>
                <c:pt idx="384">
                  <c:v>38.22</c:v>
                </c:pt>
                <c:pt idx="385">
                  <c:v>38.22</c:v>
                </c:pt>
                <c:pt idx="386">
                  <c:v>38.22</c:v>
                </c:pt>
                <c:pt idx="387">
                  <c:v>38.22</c:v>
                </c:pt>
                <c:pt idx="388">
                  <c:v>38.22</c:v>
                </c:pt>
                <c:pt idx="389">
                  <c:v>38.22</c:v>
                </c:pt>
                <c:pt idx="390">
                  <c:v>38.22</c:v>
                </c:pt>
                <c:pt idx="391">
                  <c:v>38.22</c:v>
                </c:pt>
                <c:pt idx="392">
                  <c:v>38.22</c:v>
                </c:pt>
                <c:pt idx="393">
                  <c:v>38.22</c:v>
                </c:pt>
                <c:pt idx="394">
                  <c:v>38.22</c:v>
                </c:pt>
                <c:pt idx="395">
                  <c:v>38.22</c:v>
                </c:pt>
                <c:pt idx="396">
                  <c:v>38.22</c:v>
                </c:pt>
                <c:pt idx="397">
                  <c:v>38.22</c:v>
                </c:pt>
                <c:pt idx="398">
                  <c:v>38.22</c:v>
                </c:pt>
                <c:pt idx="399">
                  <c:v>38.22</c:v>
                </c:pt>
                <c:pt idx="400">
                  <c:v>38.22</c:v>
                </c:pt>
                <c:pt idx="401">
                  <c:v>38.22</c:v>
                </c:pt>
                <c:pt idx="402">
                  <c:v>38.22</c:v>
                </c:pt>
                <c:pt idx="403">
                  <c:v>38.22</c:v>
                </c:pt>
                <c:pt idx="404">
                  <c:v>38.22</c:v>
                </c:pt>
                <c:pt idx="405">
                  <c:v>38.22</c:v>
                </c:pt>
                <c:pt idx="406">
                  <c:v>38.22</c:v>
                </c:pt>
                <c:pt idx="407">
                  <c:v>38.22</c:v>
                </c:pt>
                <c:pt idx="408">
                  <c:v>38.22</c:v>
                </c:pt>
                <c:pt idx="409">
                  <c:v>38.22</c:v>
                </c:pt>
                <c:pt idx="410">
                  <c:v>38.22</c:v>
                </c:pt>
                <c:pt idx="411">
                  <c:v>38.22</c:v>
                </c:pt>
                <c:pt idx="412">
                  <c:v>38.22</c:v>
                </c:pt>
                <c:pt idx="413">
                  <c:v>38.22</c:v>
                </c:pt>
                <c:pt idx="414">
                  <c:v>38.22</c:v>
                </c:pt>
                <c:pt idx="415">
                  <c:v>38.22</c:v>
                </c:pt>
                <c:pt idx="416">
                  <c:v>38.22</c:v>
                </c:pt>
                <c:pt idx="417">
                  <c:v>38.22</c:v>
                </c:pt>
                <c:pt idx="418">
                  <c:v>38.5</c:v>
                </c:pt>
                <c:pt idx="419">
                  <c:v>38.5</c:v>
                </c:pt>
                <c:pt idx="420">
                  <c:v>42.47</c:v>
                </c:pt>
                <c:pt idx="421">
                  <c:v>43.19</c:v>
                </c:pt>
                <c:pt idx="422">
                  <c:v>43.19</c:v>
                </c:pt>
                <c:pt idx="423">
                  <c:v>43.19</c:v>
                </c:pt>
                <c:pt idx="424">
                  <c:v>42.95</c:v>
                </c:pt>
                <c:pt idx="425">
                  <c:v>41.74</c:v>
                </c:pt>
                <c:pt idx="426">
                  <c:v>40.69</c:v>
                </c:pt>
                <c:pt idx="427">
                  <c:v>40.69</c:v>
                </c:pt>
                <c:pt idx="428">
                  <c:v>40.69</c:v>
                </c:pt>
                <c:pt idx="429">
                  <c:v>40.69</c:v>
                </c:pt>
                <c:pt idx="430">
                  <c:v>40.549999999999997</c:v>
                </c:pt>
                <c:pt idx="431">
                  <c:v>39.39</c:v>
                </c:pt>
                <c:pt idx="432">
                  <c:v>39.270000000000003</c:v>
                </c:pt>
                <c:pt idx="433">
                  <c:v>39.270000000000003</c:v>
                </c:pt>
                <c:pt idx="434">
                  <c:v>39.270000000000003</c:v>
                </c:pt>
                <c:pt idx="435">
                  <c:v>39.270000000000003</c:v>
                </c:pt>
                <c:pt idx="436">
                  <c:v>39.270000000000003</c:v>
                </c:pt>
                <c:pt idx="437">
                  <c:v>39.270000000000003</c:v>
                </c:pt>
                <c:pt idx="438">
                  <c:v>39.270000000000003</c:v>
                </c:pt>
                <c:pt idx="439">
                  <c:v>39.270000000000003</c:v>
                </c:pt>
                <c:pt idx="440">
                  <c:v>39.270000000000003</c:v>
                </c:pt>
                <c:pt idx="441">
                  <c:v>39.270000000000003</c:v>
                </c:pt>
                <c:pt idx="442">
                  <c:v>37.64</c:v>
                </c:pt>
                <c:pt idx="443">
                  <c:v>37.46</c:v>
                </c:pt>
                <c:pt idx="444">
                  <c:v>37.159999999999997</c:v>
                </c:pt>
                <c:pt idx="445">
                  <c:v>36.76</c:v>
                </c:pt>
                <c:pt idx="446">
                  <c:v>35.65</c:v>
                </c:pt>
                <c:pt idx="447">
                  <c:v>35.65</c:v>
                </c:pt>
                <c:pt idx="448">
                  <c:v>35.65</c:v>
                </c:pt>
                <c:pt idx="449">
                  <c:v>35.549999999999997</c:v>
                </c:pt>
                <c:pt idx="450">
                  <c:v>34.979999999999997</c:v>
                </c:pt>
                <c:pt idx="451">
                  <c:v>34.72</c:v>
                </c:pt>
                <c:pt idx="452">
                  <c:v>34.549999999999997</c:v>
                </c:pt>
                <c:pt idx="453">
                  <c:v>34.549999999999997</c:v>
                </c:pt>
                <c:pt idx="454">
                  <c:v>34.549999999999997</c:v>
                </c:pt>
                <c:pt idx="455">
                  <c:v>34.549999999999997</c:v>
                </c:pt>
                <c:pt idx="456">
                  <c:v>34.549999999999997</c:v>
                </c:pt>
                <c:pt idx="457">
                  <c:v>34.549999999999997</c:v>
                </c:pt>
                <c:pt idx="458">
                  <c:v>34.549999999999997</c:v>
                </c:pt>
                <c:pt idx="459">
                  <c:v>34.549999999999997</c:v>
                </c:pt>
                <c:pt idx="460">
                  <c:v>34.549999999999997</c:v>
                </c:pt>
                <c:pt idx="461">
                  <c:v>34.549999999999997</c:v>
                </c:pt>
                <c:pt idx="462">
                  <c:v>34.549999999999997</c:v>
                </c:pt>
                <c:pt idx="463">
                  <c:v>34.549999999999997</c:v>
                </c:pt>
                <c:pt idx="464">
                  <c:v>34.549999999999997</c:v>
                </c:pt>
                <c:pt idx="465">
                  <c:v>34.549999999999997</c:v>
                </c:pt>
                <c:pt idx="466">
                  <c:v>34.549999999999997</c:v>
                </c:pt>
                <c:pt idx="467">
                  <c:v>34.549999999999997</c:v>
                </c:pt>
                <c:pt idx="468">
                  <c:v>34.549999999999997</c:v>
                </c:pt>
                <c:pt idx="469">
                  <c:v>34.549999999999997</c:v>
                </c:pt>
                <c:pt idx="470">
                  <c:v>34.549999999999997</c:v>
                </c:pt>
                <c:pt idx="471">
                  <c:v>34.549999999999997</c:v>
                </c:pt>
                <c:pt idx="472">
                  <c:v>34.549999999999997</c:v>
                </c:pt>
                <c:pt idx="473">
                  <c:v>34.549999999999997</c:v>
                </c:pt>
                <c:pt idx="474">
                  <c:v>34.549999999999997</c:v>
                </c:pt>
                <c:pt idx="475">
                  <c:v>34.549999999999997</c:v>
                </c:pt>
                <c:pt idx="476">
                  <c:v>34.549999999999997</c:v>
                </c:pt>
                <c:pt idx="477">
                  <c:v>34.549999999999997</c:v>
                </c:pt>
                <c:pt idx="478">
                  <c:v>34.549999999999997</c:v>
                </c:pt>
                <c:pt idx="479">
                  <c:v>34.549999999999997</c:v>
                </c:pt>
                <c:pt idx="480">
                  <c:v>34.549999999999997</c:v>
                </c:pt>
                <c:pt idx="481">
                  <c:v>34.549999999999997</c:v>
                </c:pt>
                <c:pt idx="482">
                  <c:v>34.549999999999997</c:v>
                </c:pt>
                <c:pt idx="483">
                  <c:v>34.549999999999997</c:v>
                </c:pt>
                <c:pt idx="484">
                  <c:v>34.549999999999997</c:v>
                </c:pt>
                <c:pt idx="485">
                  <c:v>34.549999999999997</c:v>
                </c:pt>
                <c:pt idx="486">
                  <c:v>34.549999999999997</c:v>
                </c:pt>
                <c:pt idx="487">
                  <c:v>34.549999999999997</c:v>
                </c:pt>
                <c:pt idx="488">
                  <c:v>34.549999999999997</c:v>
                </c:pt>
                <c:pt idx="489">
                  <c:v>34.549999999999997</c:v>
                </c:pt>
                <c:pt idx="490">
                  <c:v>34.549999999999997</c:v>
                </c:pt>
                <c:pt idx="491">
                  <c:v>34.549999999999997</c:v>
                </c:pt>
                <c:pt idx="492">
                  <c:v>34.549999999999997</c:v>
                </c:pt>
                <c:pt idx="493">
                  <c:v>34.549999999999997</c:v>
                </c:pt>
                <c:pt idx="494">
                  <c:v>34.549999999999997</c:v>
                </c:pt>
                <c:pt idx="495">
                  <c:v>34.549999999999997</c:v>
                </c:pt>
                <c:pt idx="496">
                  <c:v>34.549999999999997</c:v>
                </c:pt>
                <c:pt idx="497">
                  <c:v>34.549999999999997</c:v>
                </c:pt>
                <c:pt idx="498">
                  <c:v>34.549999999999997</c:v>
                </c:pt>
                <c:pt idx="499">
                  <c:v>34.549999999999997</c:v>
                </c:pt>
                <c:pt idx="500">
                  <c:v>34.549999999999997</c:v>
                </c:pt>
                <c:pt idx="501">
                  <c:v>34.549999999999997</c:v>
                </c:pt>
                <c:pt idx="502">
                  <c:v>36.119999999999997</c:v>
                </c:pt>
                <c:pt idx="503">
                  <c:v>36.36</c:v>
                </c:pt>
                <c:pt idx="504">
                  <c:v>36.36</c:v>
                </c:pt>
                <c:pt idx="505">
                  <c:v>36.36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0D-453F-BC5F-23C1D767B28E}"/>
            </c:ext>
          </c:extLst>
        </c:ser>
        <c:ser>
          <c:idx val="3"/>
          <c:order val="3"/>
          <c:tx>
            <c:v>Max 50 days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'WTI Analysis'!$F$2:$F$507</c:f>
              <c:numCache>
                <c:formatCode>General</c:formatCode>
                <c:ptCount val="506"/>
                <c:pt idx="0">
                  <c:v>105.34</c:v>
                </c:pt>
                <c:pt idx="1">
                  <c:v>105.34</c:v>
                </c:pt>
                <c:pt idx="2">
                  <c:v>105.34</c:v>
                </c:pt>
                <c:pt idx="3">
                  <c:v>105.34</c:v>
                </c:pt>
                <c:pt idx="4">
                  <c:v>105.34</c:v>
                </c:pt>
                <c:pt idx="5">
                  <c:v>105.34</c:v>
                </c:pt>
                <c:pt idx="6">
                  <c:v>105.34</c:v>
                </c:pt>
                <c:pt idx="7">
                  <c:v>105.34</c:v>
                </c:pt>
                <c:pt idx="8">
                  <c:v>105.34</c:v>
                </c:pt>
                <c:pt idx="9">
                  <c:v>105.34</c:v>
                </c:pt>
                <c:pt idx="10">
                  <c:v>105.34</c:v>
                </c:pt>
                <c:pt idx="11">
                  <c:v>105.34</c:v>
                </c:pt>
                <c:pt idx="12">
                  <c:v>105.34</c:v>
                </c:pt>
                <c:pt idx="13">
                  <c:v>105.34</c:v>
                </c:pt>
                <c:pt idx="14">
                  <c:v>105.34</c:v>
                </c:pt>
                <c:pt idx="15">
                  <c:v>105.34</c:v>
                </c:pt>
                <c:pt idx="16">
                  <c:v>105.34</c:v>
                </c:pt>
                <c:pt idx="17">
                  <c:v>105.34</c:v>
                </c:pt>
                <c:pt idx="18">
                  <c:v>105.34</c:v>
                </c:pt>
                <c:pt idx="19">
                  <c:v>105.34</c:v>
                </c:pt>
                <c:pt idx="20">
                  <c:v>105.34</c:v>
                </c:pt>
                <c:pt idx="21">
                  <c:v>105.34</c:v>
                </c:pt>
                <c:pt idx="22">
                  <c:v>105.34</c:v>
                </c:pt>
                <c:pt idx="23">
                  <c:v>105.34</c:v>
                </c:pt>
                <c:pt idx="24">
                  <c:v>105.34</c:v>
                </c:pt>
                <c:pt idx="25">
                  <c:v>105.34</c:v>
                </c:pt>
                <c:pt idx="26">
                  <c:v>105.34</c:v>
                </c:pt>
                <c:pt idx="27">
                  <c:v>105.34</c:v>
                </c:pt>
                <c:pt idx="28">
                  <c:v>105.34</c:v>
                </c:pt>
                <c:pt idx="29">
                  <c:v>105.34</c:v>
                </c:pt>
                <c:pt idx="30">
                  <c:v>105.34</c:v>
                </c:pt>
                <c:pt idx="31">
                  <c:v>105.34</c:v>
                </c:pt>
                <c:pt idx="32">
                  <c:v>105.34</c:v>
                </c:pt>
                <c:pt idx="33">
                  <c:v>105.34</c:v>
                </c:pt>
                <c:pt idx="34">
                  <c:v>105.34</c:v>
                </c:pt>
                <c:pt idx="35">
                  <c:v>105.34</c:v>
                </c:pt>
                <c:pt idx="36">
                  <c:v>105.34</c:v>
                </c:pt>
                <c:pt idx="37">
                  <c:v>105.34</c:v>
                </c:pt>
                <c:pt idx="38">
                  <c:v>105.34</c:v>
                </c:pt>
                <c:pt idx="39">
                  <c:v>105.34</c:v>
                </c:pt>
                <c:pt idx="40">
                  <c:v>105.34</c:v>
                </c:pt>
                <c:pt idx="41">
                  <c:v>104.35</c:v>
                </c:pt>
                <c:pt idx="42">
                  <c:v>104.35</c:v>
                </c:pt>
                <c:pt idx="43">
                  <c:v>104.35</c:v>
                </c:pt>
                <c:pt idx="44">
                  <c:v>104.35</c:v>
                </c:pt>
                <c:pt idx="45">
                  <c:v>104.35</c:v>
                </c:pt>
                <c:pt idx="46">
                  <c:v>104.35</c:v>
                </c:pt>
                <c:pt idx="47">
                  <c:v>104.35</c:v>
                </c:pt>
                <c:pt idx="48">
                  <c:v>104.35</c:v>
                </c:pt>
                <c:pt idx="49">
                  <c:v>105.01</c:v>
                </c:pt>
                <c:pt idx="50">
                  <c:v>105.01</c:v>
                </c:pt>
                <c:pt idx="51">
                  <c:v>105.01</c:v>
                </c:pt>
                <c:pt idx="52">
                  <c:v>105.01</c:v>
                </c:pt>
                <c:pt idx="53">
                  <c:v>105.01</c:v>
                </c:pt>
                <c:pt idx="54">
                  <c:v>105.01</c:v>
                </c:pt>
                <c:pt idx="55">
                  <c:v>105.01</c:v>
                </c:pt>
                <c:pt idx="56">
                  <c:v>105.01</c:v>
                </c:pt>
                <c:pt idx="57">
                  <c:v>105.01</c:v>
                </c:pt>
                <c:pt idx="58">
                  <c:v>105.01</c:v>
                </c:pt>
                <c:pt idx="59">
                  <c:v>105.09</c:v>
                </c:pt>
                <c:pt idx="60">
                  <c:v>105.09</c:v>
                </c:pt>
                <c:pt idx="61">
                  <c:v>105.09</c:v>
                </c:pt>
                <c:pt idx="62">
                  <c:v>107.2</c:v>
                </c:pt>
                <c:pt idx="63">
                  <c:v>107.49</c:v>
                </c:pt>
                <c:pt idx="64">
                  <c:v>107.52</c:v>
                </c:pt>
                <c:pt idx="65">
                  <c:v>107.52</c:v>
                </c:pt>
                <c:pt idx="66">
                  <c:v>107.52</c:v>
                </c:pt>
                <c:pt idx="67">
                  <c:v>107.52</c:v>
                </c:pt>
                <c:pt idx="68">
                  <c:v>107.95</c:v>
                </c:pt>
                <c:pt idx="69">
                  <c:v>107.95</c:v>
                </c:pt>
                <c:pt idx="70">
                  <c:v>107.95</c:v>
                </c:pt>
                <c:pt idx="71">
                  <c:v>107.95</c:v>
                </c:pt>
                <c:pt idx="72">
                  <c:v>107.95</c:v>
                </c:pt>
                <c:pt idx="73">
                  <c:v>107.95</c:v>
                </c:pt>
                <c:pt idx="74">
                  <c:v>107.95</c:v>
                </c:pt>
                <c:pt idx="75">
                  <c:v>107.95</c:v>
                </c:pt>
                <c:pt idx="76">
                  <c:v>107.95</c:v>
                </c:pt>
                <c:pt idx="77">
                  <c:v>107.95</c:v>
                </c:pt>
                <c:pt idx="78">
                  <c:v>107.95</c:v>
                </c:pt>
                <c:pt idx="79">
                  <c:v>107.95</c:v>
                </c:pt>
                <c:pt idx="80">
                  <c:v>107.95</c:v>
                </c:pt>
                <c:pt idx="81">
                  <c:v>107.95</c:v>
                </c:pt>
                <c:pt idx="82">
                  <c:v>107.95</c:v>
                </c:pt>
                <c:pt idx="83">
                  <c:v>107.95</c:v>
                </c:pt>
                <c:pt idx="84">
                  <c:v>107.95</c:v>
                </c:pt>
                <c:pt idx="85">
                  <c:v>107.95</c:v>
                </c:pt>
                <c:pt idx="86">
                  <c:v>107.95</c:v>
                </c:pt>
                <c:pt idx="87">
                  <c:v>107.95</c:v>
                </c:pt>
                <c:pt idx="88">
                  <c:v>107.95</c:v>
                </c:pt>
                <c:pt idx="89">
                  <c:v>107.95</c:v>
                </c:pt>
                <c:pt idx="90">
                  <c:v>107.95</c:v>
                </c:pt>
                <c:pt idx="91">
                  <c:v>107.95</c:v>
                </c:pt>
                <c:pt idx="92">
                  <c:v>107.95</c:v>
                </c:pt>
                <c:pt idx="93">
                  <c:v>107.95</c:v>
                </c:pt>
                <c:pt idx="94">
                  <c:v>107.95</c:v>
                </c:pt>
                <c:pt idx="95">
                  <c:v>107.95</c:v>
                </c:pt>
                <c:pt idx="96">
                  <c:v>107.95</c:v>
                </c:pt>
                <c:pt idx="97">
                  <c:v>107.95</c:v>
                </c:pt>
                <c:pt idx="98">
                  <c:v>107.95</c:v>
                </c:pt>
                <c:pt idx="99">
                  <c:v>107.95</c:v>
                </c:pt>
                <c:pt idx="100">
                  <c:v>107.95</c:v>
                </c:pt>
                <c:pt idx="101">
                  <c:v>107.95</c:v>
                </c:pt>
                <c:pt idx="102">
                  <c:v>107.95</c:v>
                </c:pt>
                <c:pt idx="103">
                  <c:v>107.95</c:v>
                </c:pt>
                <c:pt idx="104">
                  <c:v>107.95</c:v>
                </c:pt>
                <c:pt idx="105">
                  <c:v>107.95</c:v>
                </c:pt>
                <c:pt idx="106">
                  <c:v>107.95</c:v>
                </c:pt>
                <c:pt idx="107">
                  <c:v>107.95</c:v>
                </c:pt>
                <c:pt idx="108">
                  <c:v>107.95</c:v>
                </c:pt>
                <c:pt idx="109">
                  <c:v>107.95</c:v>
                </c:pt>
                <c:pt idx="110">
                  <c:v>107.95</c:v>
                </c:pt>
                <c:pt idx="111">
                  <c:v>107.95</c:v>
                </c:pt>
                <c:pt idx="112">
                  <c:v>107.95</c:v>
                </c:pt>
                <c:pt idx="113">
                  <c:v>107.95</c:v>
                </c:pt>
                <c:pt idx="114">
                  <c:v>107.95</c:v>
                </c:pt>
                <c:pt idx="115">
                  <c:v>107.95</c:v>
                </c:pt>
                <c:pt idx="116">
                  <c:v>107.95</c:v>
                </c:pt>
                <c:pt idx="117">
                  <c:v>107.95</c:v>
                </c:pt>
                <c:pt idx="118">
                  <c:v>107.04</c:v>
                </c:pt>
                <c:pt idx="119">
                  <c:v>107.04</c:v>
                </c:pt>
                <c:pt idx="120">
                  <c:v>107.04</c:v>
                </c:pt>
                <c:pt idx="121">
                  <c:v>106.49</c:v>
                </c:pt>
                <c:pt idx="122">
                  <c:v>106.46</c:v>
                </c:pt>
                <c:pt idx="123">
                  <c:v>106.07</c:v>
                </c:pt>
                <c:pt idx="124">
                  <c:v>106.06</c:v>
                </c:pt>
                <c:pt idx="125">
                  <c:v>105.68</c:v>
                </c:pt>
                <c:pt idx="126">
                  <c:v>105.68</c:v>
                </c:pt>
                <c:pt idx="127">
                  <c:v>105.68</c:v>
                </c:pt>
                <c:pt idx="128">
                  <c:v>105.68</c:v>
                </c:pt>
                <c:pt idx="129">
                  <c:v>105.68</c:v>
                </c:pt>
                <c:pt idx="130">
                  <c:v>105.68</c:v>
                </c:pt>
                <c:pt idx="131">
                  <c:v>105.68</c:v>
                </c:pt>
                <c:pt idx="132">
                  <c:v>105.68</c:v>
                </c:pt>
                <c:pt idx="133">
                  <c:v>105.68</c:v>
                </c:pt>
                <c:pt idx="134">
                  <c:v>105.68</c:v>
                </c:pt>
                <c:pt idx="135">
                  <c:v>105.68</c:v>
                </c:pt>
                <c:pt idx="136">
                  <c:v>105.68</c:v>
                </c:pt>
                <c:pt idx="137">
                  <c:v>105.68</c:v>
                </c:pt>
                <c:pt idx="138">
                  <c:v>105.68</c:v>
                </c:pt>
                <c:pt idx="139">
                  <c:v>105.68</c:v>
                </c:pt>
                <c:pt idx="140">
                  <c:v>105.68</c:v>
                </c:pt>
                <c:pt idx="141">
                  <c:v>105.68</c:v>
                </c:pt>
                <c:pt idx="142">
                  <c:v>105.68</c:v>
                </c:pt>
                <c:pt idx="143">
                  <c:v>104.91</c:v>
                </c:pt>
                <c:pt idx="144">
                  <c:v>104.29</c:v>
                </c:pt>
                <c:pt idx="145">
                  <c:v>98.26</c:v>
                </c:pt>
                <c:pt idx="146">
                  <c:v>98.26</c:v>
                </c:pt>
                <c:pt idx="147">
                  <c:v>98.26</c:v>
                </c:pt>
                <c:pt idx="148">
                  <c:v>98.09</c:v>
                </c:pt>
                <c:pt idx="149">
                  <c:v>98.09</c:v>
                </c:pt>
                <c:pt idx="150">
                  <c:v>98.09</c:v>
                </c:pt>
                <c:pt idx="151">
                  <c:v>98.09</c:v>
                </c:pt>
                <c:pt idx="152">
                  <c:v>98.09</c:v>
                </c:pt>
                <c:pt idx="153">
                  <c:v>97.86</c:v>
                </c:pt>
                <c:pt idx="154">
                  <c:v>97.86</c:v>
                </c:pt>
                <c:pt idx="155">
                  <c:v>97.86</c:v>
                </c:pt>
                <c:pt idx="156">
                  <c:v>97.86</c:v>
                </c:pt>
                <c:pt idx="157">
                  <c:v>97.86</c:v>
                </c:pt>
                <c:pt idx="158">
                  <c:v>97.86</c:v>
                </c:pt>
                <c:pt idx="159">
                  <c:v>97.86</c:v>
                </c:pt>
                <c:pt idx="160">
                  <c:v>97.86</c:v>
                </c:pt>
                <c:pt idx="161">
                  <c:v>97.86</c:v>
                </c:pt>
                <c:pt idx="162">
                  <c:v>97.86</c:v>
                </c:pt>
                <c:pt idx="163">
                  <c:v>97.86</c:v>
                </c:pt>
                <c:pt idx="164">
                  <c:v>97.86</c:v>
                </c:pt>
                <c:pt idx="165">
                  <c:v>97.86</c:v>
                </c:pt>
                <c:pt idx="166">
                  <c:v>97.86</c:v>
                </c:pt>
                <c:pt idx="167">
                  <c:v>95.55</c:v>
                </c:pt>
                <c:pt idx="168">
                  <c:v>95.55</c:v>
                </c:pt>
                <c:pt idx="169">
                  <c:v>95.55</c:v>
                </c:pt>
                <c:pt idx="170">
                  <c:v>95.55</c:v>
                </c:pt>
                <c:pt idx="171">
                  <c:v>95.55</c:v>
                </c:pt>
                <c:pt idx="172">
                  <c:v>95.55</c:v>
                </c:pt>
                <c:pt idx="173">
                  <c:v>95.55</c:v>
                </c:pt>
                <c:pt idx="174">
                  <c:v>95.55</c:v>
                </c:pt>
                <c:pt idx="175">
                  <c:v>95.55</c:v>
                </c:pt>
                <c:pt idx="176">
                  <c:v>95.55</c:v>
                </c:pt>
                <c:pt idx="177">
                  <c:v>95.55</c:v>
                </c:pt>
                <c:pt idx="178">
                  <c:v>95.55</c:v>
                </c:pt>
                <c:pt idx="179">
                  <c:v>95.55</c:v>
                </c:pt>
                <c:pt idx="180">
                  <c:v>95.55</c:v>
                </c:pt>
                <c:pt idx="181">
                  <c:v>95.55</c:v>
                </c:pt>
                <c:pt idx="182">
                  <c:v>95.55</c:v>
                </c:pt>
                <c:pt idx="183">
                  <c:v>95.55</c:v>
                </c:pt>
                <c:pt idx="184">
                  <c:v>95.55</c:v>
                </c:pt>
                <c:pt idx="185">
                  <c:v>95.55</c:v>
                </c:pt>
                <c:pt idx="186">
                  <c:v>94.53</c:v>
                </c:pt>
                <c:pt idx="187">
                  <c:v>91.17</c:v>
                </c:pt>
                <c:pt idx="188">
                  <c:v>91.02</c:v>
                </c:pt>
                <c:pt idx="189">
                  <c:v>91.02</c:v>
                </c:pt>
                <c:pt idx="190">
                  <c:v>90.33</c:v>
                </c:pt>
                <c:pt idx="191">
                  <c:v>90.33</c:v>
                </c:pt>
                <c:pt idx="192">
                  <c:v>88.89</c:v>
                </c:pt>
                <c:pt idx="193">
                  <c:v>87.29</c:v>
                </c:pt>
                <c:pt idx="194">
                  <c:v>85.87</c:v>
                </c:pt>
                <c:pt idx="195">
                  <c:v>85.87</c:v>
                </c:pt>
                <c:pt idx="196">
                  <c:v>85.73</c:v>
                </c:pt>
                <c:pt idx="197">
                  <c:v>83.25</c:v>
                </c:pt>
                <c:pt idx="198">
                  <c:v>83.25</c:v>
                </c:pt>
                <c:pt idx="199">
                  <c:v>83.25</c:v>
                </c:pt>
                <c:pt idx="200">
                  <c:v>83.25</c:v>
                </c:pt>
                <c:pt idx="201">
                  <c:v>83.25</c:v>
                </c:pt>
                <c:pt idx="202">
                  <c:v>83.25</c:v>
                </c:pt>
                <c:pt idx="203">
                  <c:v>82.81</c:v>
                </c:pt>
                <c:pt idx="204">
                  <c:v>82.81</c:v>
                </c:pt>
                <c:pt idx="205">
                  <c:v>82.25</c:v>
                </c:pt>
                <c:pt idx="206">
                  <c:v>82.25</c:v>
                </c:pt>
                <c:pt idx="207">
                  <c:v>82.25</c:v>
                </c:pt>
                <c:pt idx="208">
                  <c:v>82.25</c:v>
                </c:pt>
                <c:pt idx="209">
                  <c:v>81.06</c:v>
                </c:pt>
                <c:pt idx="210">
                  <c:v>80.53</c:v>
                </c:pt>
                <c:pt idx="211">
                  <c:v>78.77</c:v>
                </c:pt>
                <c:pt idx="212">
                  <c:v>78.709999999999994</c:v>
                </c:pt>
                <c:pt idx="213">
                  <c:v>78.709999999999994</c:v>
                </c:pt>
                <c:pt idx="214">
                  <c:v>78.709999999999994</c:v>
                </c:pt>
                <c:pt idx="215">
                  <c:v>78.709999999999994</c:v>
                </c:pt>
                <c:pt idx="216">
                  <c:v>77.849999999999994</c:v>
                </c:pt>
                <c:pt idx="217">
                  <c:v>77.849999999999994</c:v>
                </c:pt>
                <c:pt idx="218">
                  <c:v>77.16</c:v>
                </c:pt>
                <c:pt idx="219">
                  <c:v>76.52</c:v>
                </c:pt>
                <c:pt idx="220">
                  <c:v>76.52</c:v>
                </c:pt>
                <c:pt idx="221">
                  <c:v>76.52</c:v>
                </c:pt>
                <c:pt idx="222">
                  <c:v>76.52</c:v>
                </c:pt>
                <c:pt idx="223">
                  <c:v>76.52</c:v>
                </c:pt>
                <c:pt idx="224">
                  <c:v>76.52</c:v>
                </c:pt>
                <c:pt idx="225">
                  <c:v>76.52</c:v>
                </c:pt>
                <c:pt idx="226">
                  <c:v>75.739999999999995</c:v>
                </c:pt>
                <c:pt idx="227">
                  <c:v>74.040000000000006</c:v>
                </c:pt>
                <c:pt idx="228">
                  <c:v>73.7</c:v>
                </c:pt>
                <c:pt idx="229">
                  <c:v>68.98</c:v>
                </c:pt>
                <c:pt idx="230">
                  <c:v>68.98</c:v>
                </c:pt>
                <c:pt idx="231">
                  <c:v>67.3</c:v>
                </c:pt>
                <c:pt idx="232">
                  <c:v>67.3</c:v>
                </c:pt>
                <c:pt idx="233">
                  <c:v>66.73</c:v>
                </c:pt>
                <c:pt idx="234">
                  <c:v>65.89</c:v>
                </c:pt>
                <c:pt idx="235">
                  <c:v>63.74</c:v>
                </c:pt>
                <c:pt idx="236">
                  <c:v>63.74</c:v>
                </c:pt>
                <c:pt idx="237">
                  <c:v>60.99</c:v>
                </c:pt>
                <c:pt idx="238">
                  <c:v>60.01</c:v>
                </c:pt>
                <c:pt idx="239">
                  <c:v>57.81</c:v>
                </c:pt>
                <c:pt idx="240">
                  <c:v>56.91</c:v>
                </c:pt>
                <c:pt idx="241">
                  <c:v>56.91</c:v>
                </c:pt>
                <c:pt idx="242">
                  <c:v>56.91</c:v>
                </c:pt>
                <c:pt idx="243">
                  <c:v>56.91</c:v>
                </c:pt>
                <c:pt idx="244">
                  <c:v>56.91</c:v>
                </c:pt>
                <c:pt idx="245">
                  <c:v>56.78</c:v>
                </c:pt>
                <c:pt idx="246">
                  <c:v>56.78</c:v>
                </c:pt>
                <c:pt idx="247">
                  <c:v>55.7</c:v>
                </c:pt>
                <c:pt idx="248">
                  <c:v>54.59</c:v>
                </c:pt>
                <c:pt idx="249">
                  <c:v>54.14</c:v>
                </c:pt>
                <c:pt idx="250">
                  <c:v>54.14</c:v>
                </c:pt>
                <c:pt idx="251">
                  <c:v>53.56</c:v>
                </c:pt>
                <c:pt idx="252">
                  <c:v>53.56</c:v>
                </c:pt>
                <c:pt idx="253">
                  <c:v>53.56</c:v>
                </c:pt>
                <c:pt idx="254">
                  <c:v>53.56</c:v>
                </c:pt>
                <c:pt idx="255">
                  <c:v>53.56</c:v>
                </c:pt>
                <c:pt idx="256">
                  <c:v>53.56</c:v>
                </c:pt>
                <c:pt idx="257">
                  <c:v>53.56</c:v>
                </c:pt>
                <c:pt idx="258">
                  <c:v>53.56</c:v>
                </c:pt>
                <c:pt idx="259">
                  <c:v>53.56</c:v>
                </c:pt>
                <c:pt idx="260">
                  <c:v>53.56</c:v>
                </c:pt>
                <c:pt idx="261">
                  <c:v>53.56</c:v>
                </c:pt>
                <c:pt idx="262">
                  <c:v>53.56</c:v>
                </c:pt>
                <c:pt idx="263">
                  <c:v>53.56</c:v>
                </c:pt>
                <c:pt idx="264">
                  <c:v>53.56</c:v>
                </c:pt>
                <c:pt idx="265">
                  <c:v>53.56</c:v>
                </c:pt>
                <c:pt idx="266">
                  <c:v>53.56</c:v>
                </c:pt>
                <c:pt idx="267">
                  <c:v>53.56</c:v>
                </c:pt>
                <c:pt idx="268">
                  <c:v>53.56</c:v>
                </c:pt>
                <c:pt idx="269">
                  <c:v>53.95</c:v>
                </c:pt>
                <c:pt idx="270">
                  <c:v>53.95</c:v>
                </c:pt>
                <c:pt idx="271">
                  <c:v>53.95</c:v>
                </c:pt>
                <c:pt idx="272">
                  <c:v>53.95</c:v>
                </c:pt>
                <c:pt idx="273">
                  <c:v>53.95</c:v>
                </c:pt>
                <c:pt idx="274">
                  <c:v>53.95</c:v>
                </c:pt>
                <c:pt idx="275">
                  <c:v>56.25</c:v>
                </c:pt>
                <c:pt idx="276">
                  <c:v>56.69</c:v>
                </c:pt>
                <c:pt idx="277">
                  <c:v>56.69</c:v>
                </c:pt>
                <c:pt idx="278">
                  <c:v>56.69</c:v>
                </c:pt>
                <c:pt idx="279">
                  <c:v>56.69</c:v>
                </c:pt>
                <c:pt idx="280">
                  <c:v>56.69</c:v>
                </c:pt>
                <c:pt idx="281">
                  <c:v>56.69</c:v>
                </c:pt>
                <c:pt idx="282">
                  <c:v>56.69</c:v>
                </c:pt>
                <c:pt idx="283">
                  <c:v>56.69</c:v>
                </c:pt>
                <c:pt idx="284">
                  <c:v>57.05</c:v>
                </c:pt>
                <c:pt idx="285">
                  <c:v>58.55</c:v>
                </c:pt>
                <c:pt idx="286">
                  <c:v>59.62</c:v>
                </c:pt>
                <c:pt idx="287">
                  <c:v>59.62</c:v>
                </c:pt>
                <c:pt idx="288">
                  <c:v>59.62</c:v>
                </c:pt>
                <c:pt idx="289">
                  <c:v>60.38</c:v>
                </c:pt>
                <c:pt idx="290">
                  <c:v>60.93</c:v>
                </c:pt>
                <c:pt idx="291">
                  <c:v>60.93</c:v>
                </c:pt>
                <c:pt idx="292">
                  <c:v>60.93</c:v>
                </c:pt>
                <c:pt idx="293">
                  <c:v>60.93</c:v>
                </c:pt>
                <c:pt idx="294">
                  <c:v>60.93</c:v>
                </c:pt>
                <c:pt idx="295">
                  <c:v>60.93</c:v>
                </c:pt>
                <c:pt idx="296">
                  <c:v>60.93</c:v>
                </c:pt>
                <c:pt idx="297">
                  <c:v>60.93</c:v>
                </c:pt>
                <c:pt idx="298">
                  <c:v>60.93</c:v>
                </c:pt>
                <c:pt idx="299">
                  <c:v>60.93</c:v>
                </c:pt>
                <c:pt idx="300">
                  <c:v>60.93</c:v>
                </c:pt>
                <c:pt idx="301">
                  <c:v>60.93</c:v>
                </c:pt>
                <c:pt idx="302">
                  <c:v>60.93</c:v>
                </c:pt>
                <c:pt idx="303">
                  <c:v>60.93</c:v>
                </c:pt>
                <c:pt idx="304">
                  <c:v>60.93</c:v>
                </c:pt>
                <c:pt idx="305">
                  <c:v>60.93</c:v>
                </c:pt>
                <c:pt idx="306">
                  <c:v>60.93</c:v>
                </c:pt>
                <c:pt idx="307">
                  <c:v>60.93</c:v>
                </c:pt>
                <c:pt idx="308">
                  <c:v>60.93</c:v>
                </c:pt>
                <c:pt idx="309">
                  <c:v>61.3</c:v>
                </c:pt>
                <c:pt idx="310">
                  <c:v>61.3</c:v>
                </c:pt>
                <c:pt idx="311">
                  <c:v>61.3</c:v>
                </c:pt>
                <c:pt idx="312">
                  <c:v>61.3</c:v>
                </c:pt>
                <c:pt idx="313">
                  <c:v>61.3</c:v>
                </c:pt>
                <c:pt idx="314">
                  <c:v>61.3</c:v>
                </c:pt>
                <c:pt idx="315">
                  <c:v>61.36</c:v>
                </c:pt>
                <c:pt idx="316">
                  <c:v>61.36</c:v>
                </c:pt>
                <c:pt idx="317">
                  <c:v>61.36</c:v>
                </c:pt>
                <c:pt idx="318">
                  <c:v>61.36</c:v>
                </c:pt>
                <c:pt idx="319">
                  <c:v>61.36</c:v>
                </c:pt>
                <c:pt idx="320">
                  <c:v>61.36</c:v>
                </c:pt>
                <c:pt idx="321">
                  <c:v>61.36</c:v>
                </c:pt>
                <c:pt idx="322">
                  <c:v>61.36</c:v>
                </c:pt>
                <c:pt idx="323">
                  <c:v>61.36</c:v>
                </c:pt>
                <c:pt idx="324">
                  <c:v>61.36</c:v>
                </c:pt>
                <c:pt idx="325">
                  <c:v>61.36</c:v>
                </c:pt>
                <c:pt idx="326">
                  <c:v>61.36</c:v>
                </c:pt>
                <c:pt idx="327">
                  <c:v>61.36</c:v>
                </c:pt>
                <c:pt idx="328">
                  <c:v>61.36</c:v>
                </c:pt>
                <c:pt idx="329">
                  <c:v>61.36</c:v>
                </c:pt>
                <c:pt idx="330">
                  <c:v>61.36</c:v>
                </c:pt>
                <c:pt idx="331">
                  <c:v>61.36</c:v>
                </c:pt>
                <c:pt idx="332">
                  <c:v>61.36</c:v>
                </c:pt>
                <c:pt idx="333">
                  <c:v>61.36</c:v>
                </c:pt>
                <c:pt idx="334">
                  <c:v>61.36</c:v>
                </c:pt>
                <c:pt idx="335">
                  <c:v>61.36</c:v>
                </c:pt>
                <c:pt idx="336">
                  <c:v>61.36</c:v>
                </c:pt>
                <c:pt idx="337">
                  <c:v>61.36</c:v>
                </c:pt>
                <c:pt idx="338">
                  <c:v>61.36</c:v>
                </c:pt>
                <c:pt idx="339">
                  <c:v>61.36</c:v>
                </c:pt>
                <c:pt idx="340">
                  <c:v>61.36</c:v>
                </c:pt>
                <c:pt idx="341">
                  <c:v>61.36</c:v>
                </c:pt>
                <c:pt idx="342">
                  <c:v>61.36</c:v>
                </c:pt>
                <c:pt idx="343">
                  <c:v>61.36</c:v>
                </c:pt>
                <c:pt idx="344">
                  <c:v>61.36</c:v>
                </c:pt>
                <c:pt idx="345">
                  <c:v>61.36</c:v>
                </c:pt>
                <c:pt idx="346">
                  <c:v>61.36</c:v>
                </c:pt>
                <c:pt idx="347">
                  <c:v>61.36</c:v>
                </c:pt>
                <c:pt idx="348">
                  <c:v>61.36</c:v>
                </c:pt>
                <c:pt idx="349">
                  <c:v>61.36</c:v>
                </c:pt>
                <c:pt idx="350">
                  <c:v>61.36</c:v>
                </c:pt>
                <c:pt idx="351">
                  <c:v>61.36</c:v>
                </c:pt>
                <c:pt idx="352">
                  <c:v>61.36</c:v>
                </c:pt>
                <c:pt idx="353">
                  <c:v>61.36</c:v>
                </c:pt>
                <c:pt idx="354">
                  <c:v>61.36</c:v>
                </c:pt>
                <c:pt idx="355">
                  <c:v>61.36</c:v>
                </c:pt>
                <c:pt idx="356">
                  <c:v>61.36</c:v>
                </c:pt>
                <c:pt idx="357">
                  <c:v>61.36</c:v>
                </c:pt>
                <c:pt idx="358">
                  <c:v>61.36</c:v>
                </c:pt>
                <c:pt idx="359">
                  <c:v>61.36</c:v>
                </c:pt>
                <c:pt idx="360">
                  <c:v>61.36</c:v>
                </c:pt>
                <c:pt idx="361">
                  <c:v>61.36</c:v>
                </c:pt>
                <c:pt idx="362">
                  <c:v>61.36</c:v>
                </c:pt>
                <c:pt idx="363">
                  <c:v>61.36</c:v>
                </c:pt>
                <c:pt idx="364">
                  <c:v>61.36</c:v>
                </c:pt>
                <c:pt idx="365">
                  <c:v>61.05</c:v>
                </c:pt>
                <c:pt idx="366">
                  <c:v>61.05</c:v>
                </c:pt>
                <c:pt idx="367">
                  <c:v>61.05</c:v>
                </c:pt>
                <c:pt idx="368">
                  <c:v>61.05</c:v>
                </c:pt>
                <c:pt idx="369">
                  <c:v>61.05</c:v>
                </c:pt>
                <c:pt idx="370">
                  <c:v>61.05</c:v>
                </c:pt>
                <c:pt idx="371">
                  <c:v>61.05</c:v>
                </c:pt>
                <c:pt idx="372">
                  <c:v>61.05</c:v>
                </c:pt>
                <c:pt idx="373">
                  <c:v>61.05</c:v>
                </c:pt>
                <c:pt idx="374">
                  <c:v>60.01</c:v>
                </c:pt>
                <c:pt idx="375">
                  <c:v>59.59</c:v>
                </c:pt>
                <c:pt idx="376">
                  <c:v>59.48</c:v>
                </c:pt>
                <c:pt idx="377">
                  <c:v>59.48</c:v>
                </c:pt>
                <c:pt idx="378">
                  <c:v>59.48</c:v>
                </c:pt>
                <c:pt idx="379">
                  <c:v>56.94</c:v>
                </c:pt>
                <c:pt idx="380">
                  <c:v>56.93</c:v>
                </c:pt>
                <c:pt idx="381">
                  <c:v>56.93</c:v>
                </c:pt>
                <c:pt idx="382">
                  <c:v>53.05</c:v>
                </c:pt>
                <c:pt idx="383">
                  <c:v>53.05</c:v>
                </c:pt>
                <c:pt idx="384">
                  <c:v>53.05</c:v>
                </c:pt>
                <c:pt idx="385">
                  <c:v>53.05</c:v>
                </c:pt>
                <c:pt idx="386">
                  <c:v>53.05</c:v>
                </c:pt>
                <c:pt idx="387">
                  <c:v>53.05</c:v>
                </c:pt>
                <c:pt idx="388">
                  <c:v>53.05</c:v>
                </c:pt>
                <c:pt idx="389">
                  <c:v>51.4</c:v>
                </c:pt>
                <c:pt idx="390">
                  <c:v>50.9</c:v>
                </c:pt>
                <c:pt idx="391">
                  <c:v>50.88</c:v>
                </c:pt>
                <c:pt idx="392">
                  <c:v>50.59</c:v>
                </c:pt>
                <c:pt idx="393">
                  <c:v>50.59</c:v>
                </c:pt>
                <c:pt idx="394">
                  <c:v>49.27</c:v>
                </c:pt>
                <c:pt idx="395">
                  <c:v>49.2</c:v>
                </c:pt>
                <c:pt idx="396">
                  <c:v>49.2</c:v>
                </c:pt>
                <c:pt idx="397">
                  <c:v>49.2</c:v>
                </c:pt>
                <c:pt idx="398">
                  <c:v>49.2</c:v>
                </c:pt>
                <c:pt idx="399">
                  <c:v>49.2</c:v>
                </c:pt>
                <c:pt idx="400">
                  <c:v>49.46</c:v>
                </c:pt>
                <c:pt idx="401">
                  <c:v>49.67</c:v>
                </c:pt>
                <c:pt idx="402">
                  <c:v>49.67</c:v>
                </c:pt>
                <c:pt idx="403">
                  <c:v>49.67</c:v>
                </c:pt>
                <c:pt idx="404">
                  <c:v>49.67</c:v>
                </c:pt>
                <c:pt idx="405">
                  <c:v>49.67</c:v>
                </c:pt>
                <c:pt idx="406">
                  <c:v>49.67</c:v>
                </c:pt>
                <c:pt idx="407">
                  <c:v>49.67</c:v>
                </c:pt>
                <c:pt idx="408">
                  <c:v>49.67</c:v>
                </c:pt>
                <c:pt idx="409">
                  <c:v>49.67</c:v>
                </c:pt>
                <c:pt idx="410">
                  <c:v>49.67</c:v>
                </c:pt>
                <c:pt idx="411">
                  <c:v>49.67</c:v>
                </c:pt>
                <c:pt idx="412">
                  <c:v>49.67</c:v>
                </c:pt>
                <c:pt idx="413">
                  <c:v>49.67</c:v>
                </c:pt>
                <c:pt idx="414">
                  <c:v>49.67</c:v>
                </c:pt>
                <c:pt idx="415">
                  <c:v>49.67</c:v>
                </c:pt>
                <c:pt idx="416">
                  <c:v>49.67</c:v>
                </c:pt>
                <c:pt idx="417">
                  <c:v>49.67</c:v>
                </c:pt>
                <c:pt idx="418">
                  <c:v>49.67</c:v>
                </c:pt>
                <c:pt idx="419">
                  <c:v>49.67</c:v>
                </c:pt>
                <c:pt idx="420">
                  <c:v>49.67</c:v>
                </c:pt>
                <c:pt idx="421">
                  <c:v>49.67</c:v>
                </c:pt>
                <c:pt idx="422">
                  <c:v>49.67</c:v>
                </c:pt>
                <c:pt idx="423">
                  <c:v>49.67</c:v>
                </c:pt>
                <c:pt idx="424">
                  <c:v>49.67</c:v>
                </c:pt>
                <c:pt idx="425">
                  <c:v>49.67</c:v>
                </c:pt>
                <c:pt idx="426">
                  <c:v>49.67</c:v>
                </c:pt>
                <c:pt idx="427">
                  <c:v>49.67</c:v>
                </c:pt>
                <c:pt idx="428">
                  <c:v>49.67</c:v>
                </c:pt>
                <c:pt idx="429">
                  <c:v>49.67</c:v>
                </c:pt>
                <c:pt idx="430">
                  <c:v>49.67</c:v>
                </c:pt>
                <c:pt idx="431">
                  <c:v>49.67</c:v>
                </c:pt>
                <c:pt idx="432">
                  <c:v>49.67</c:v>
                </c:pt>
                <c:pt idx="433">
                  <c:v>49.67</c:v>
                </c:pt>
                <c:pt idx="434">
                  <c:v>49.67</c:v>
                </c:pt>
                <c:pt idx="435">
                  <c:v>49.67</c:v>
                </c:pt>
                <c:pt idx="436">
                  <c:v>49.67</c:v>
                </c:pt>
                <c:pt idx="437">
                  <c:v>49.67</c:v>
                </c:pt>
                <c:pt idx="438">
                  <c:v>49.67</c:v>
                </c:pt>
                <c:pt idx="439">
                  <c:v>49.67</c:v>
                </c:pt>
                <c:pt idx="440">
                  <c:v>49.67</c:v>
                </c:pt>
                <c:pt idx="441">
                  <c:v>49.67</c:v>
                </c:pt>
                <c:pt idx="442">
                  <c:v>49.67</c:v>
                </c:pt>
                <c:pt idx="443">
                  <c:v>49.67</c:v>
                </c:pt>
                <c:pt idx="444">
                  <c:v>49.67</c:v>
                </c:pt>
                <c:pt idx="445">
                  <c:v>49.67</c:v>
                </c:pt>
                <c:pt idx="446">
                  <c:v>49.67</c:v>
                </c:pt>
                <c:pt idx="447">
                  <c:v>49.67</c:v>
                </c:pt>
                <c:pt idx="448">
                  <c:v>49.67</c:v>
                </c:pt>
                <c:pt idx="449">
                  <c:v>49.67</c:v>
                </c:pt>
                <c:pt idx="450">
                  <c:v>49.67</c:v>
                </c:pt>
                <c:pt idx="451">
                  <c:v>47.88</c:v>
                </c:pt>
                <c:pt idx="452">
                  <c:v>47.88</c:v>
                </c:pt>
                <c:pt idx="453">
                  <c:v>47.88</c:v>
                </c:pt>
                <c:pt idx="454">
                  <c:v>47.88</c:v>
                </c:pt>
                <c:pt idx="455">
                  <c:v>47.88</c:v>
                </c:pt>
                <c:pt idx="456">
                  <c:v>47.88</c:v>
                </c:pt>
                <c:pt idx="457">
                  <c:v>47.88</c:v>
                </c:pt>
                <c:pt idx="458">
                  <c:v>47.88</c:v>
                </c:pt>
                <c:pt idx="459">
                  <c:v>47.88</c:v>
                </c:pt>
                <c:pt idx="460">
                  <c:v>47.88</c:v>
                </c:pt>
                <c:pt idx="461">
                  <c:v>47.88</c:v>
                </c:pt>
                <c:pt idx="462">
                  <c:v>47.88</c:v>
                </c:pt>
                <c:pt idx="463">
                  <c:v>47.88</c:v>
                </c:pt>
                <c:pt idx="464">
                  <c:v>47.88</c:v>
                </c:pt>
                <c:pt idx="465">
                  <c:v>47.88</c:v>
                </c:pt>
                <c:pt idx="466">
                  <c:v>47.88</c:v>
                </c:pt>
                <c:pt idx="467">
                  <c:v>47.88</c:v>
                </c:pt>
                <c:pt idx="468">
                  <c:v>46.32</c:v>
                </c:pt>
                <c:pt idx="469">
                  <c:v>45.27</c:v>
                </c:pt>
                <c:pt idx="470">
                  <c:v>44.32</c:v>
                </c:pt>
                <c:pt idx="471">
                  <c:v>44.23</c:v>
                </c:pt>
                <c:pt idx="472">
                  <c:v>44.23</c:v>
                </c:pt>
                <c:pt idx="473">
                  <c:v>42.95</c:v>
                </c:pt>
                <c:pt idx="474">
                  <c:v>41.74</c:v>
                </c:pt>
                <c:pt idx="475">
                  <c:v>41.68</c:v>
                </c:pt>
                <c:pt idx="476">
                  <c:v>41.68</c:v>
                </c:pt>
                <c:pt idx="477">
                  <c:v>41.22</c:v>
                </c:pt>
                <c:pt idx="478">
                  <c:v>41.22</c:v>
                </c:pt>
                <c:pt idx="479">
                  <c:v>41.22</c:v>
                </c:pt>
                <c:pt idx="480">
                  <c:v>41.22</c:v>
                </c:pt>
                <c:pt idx="481">
                  <c:v>41.22</c:v>
                </c:pt>
                <c:pt idx="482">
                  <c:v>41.22</c:v>
                </c:pt>
                <c:pt idx="483">
                  <c:v>41.22</c:v>
                </c:pt>
                <c:pt idx="484">
                  <c:v>41.22</c:v>
                </c:pt>
                <c:pt idx="485">
                  <c:v>41.08</c:v>
                </c:pt>
                <c:pt idx="486">
                  <c:v>41.08</c:v>
                </c:pt>
                <c:pt idx="487">
                  <c:v>41.08</c:v>
                </c:pt>
                <c:pt idx="488">
                  <c:v>41.08</c:v>
                </c:pt>
                <c:pt idx="489">
                  <c:v>41.08</c:v>
                </c:pt>
                <c:pt idx="490">
                  <c:v>40</c:v>
                </c:pt>
                <c:pt idx="491">
                  <c:v>37.64</c:v>
                </c:pt>
                <c:pt idx="492">
                  <c:v>37.619999999999997</c:v>
                </c:pt>
                <c:pt idx="493">
                  <c:v>37.619999999999997</c:v>
                </c:pt>
                <c:pt idx="494">
                  <c:v>37.619999999999997</c:v>
                </c:pt>
                <c:pt idx="495">
                  <c:v>37.619999999999997</c:v>
                </c:pt>
                <c:pt idx="496">
                  <c:v>37.619999999999997</c:v>
                </c:pt>
                <c:pt idx="497">
                  <c:v>37.619999999999997</c:v>
                </c:pt>
                <c:pt idx="498">
                  <c:v>37.619999999999997</c:v>
                </c:pt>
                <c:pt idx="499">
                  <c:v>37.619999999999997</c:v>
                </c:pt>
                <c:pt idx="500">
                  <c:v>37.619999999999997</c:v>
                </c:pt>
                <c:pt idx="501">
                  <c:v>37.619999999999997</c:v>
                </c:pt>
                <c:pt idx="502">
                  <c:v>37.619999999999997</c:v>
                </c:pt>
                <c:pt idx="503">
                  <c:v>37.619999999999997</c:v>
                </c:pt>
                <c:pt idx="504">
                  <c:v>37.619999999999997</c:v>
                </c:pt>
                <c:pt idx="505">
                  <c:v>36.36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0D-453F-BC5F-23C1D767B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387759"/>
        <c:axId val="1825504879"/>
      </c:lineChart>
      <c:dateAx>
        <c:axId val="777387759"/>
        <c:scaling>
          <c:orientation val="minMax"/>
        </c:scaling>
        <c:delete val="0"/>
        <c:axPos val="b"/>
        <c:numFmt formatCode="dd-mm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504879"/>
        <c:crosses val="autoZero"/>
        <c:auto val="1"/>
        <c:lblOffset val="100"/>
        <c:baseTimeUnit val="days"/>
      </c:dateAx>
      <c:valAx>
        <c:axId val="182550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387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19051</xdr:colOff>
      <xdr:row>61</xdr:row>
      <xdr:rowOff>76200</xdr:rowOff>
    </xdr:from>
    <xdr:to>
      <xdr:col>24</xdr:col>
      <xdr:colOff>274209</xdr:colOff>
      <xdr:row>81</xdr:row>
      <xdr:rowOff>28575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6426" y="9953625"/>
          <a:ext cx="7665608" cy="3190875"/>
        </a:xfrm>
        <a:prstGeom prst="rect">
          <a:avLst/>
        </a:prstGeom>
      </xdr:spPr>
    </xdr:pic>
    <xdr:clientData/>
  </xdr:twoCellAnchor>
  <xdr:twoCellAnchor>
    <xdr:from>
      <xdr:col>12</xdr:col>
      <xdr:colOff>485775</xdr:colOff>
      <xdr:row>37</xdr:row>
      <xdr:rowOff>85725</xdr:rowOff>
    </xdr:from>
    <xdr:to>
      <xdr:col>21</xdr:col>
      <xdr:colOff>409575</xdr:colOff>
      <xdr:row>59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886117C-0446-4CC6-A964-F603AAA816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604824</xdr:colOff>
      <xdr:row>12</xdr:row>
      <xdr:rowOff>85726</xdr:rowOff>
    </xdr:from>
    <xdr:to>
      <xdr:col>17</xdr:col>
      <xdr:colOff>571499</xdr:colOff>
      <xdr:row>24</xdr:row>
      <xdr:rowOff>110443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B36845A-18FC-41AD-BB58-1377407EB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96499" y="2028826"/>
          <a:ext cx="3109925" cy="19678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31</xdr:row>
      <xdr:rowOff>28574</xdr:rowOff>
    </xdr:from>
    <xdr:to>
      <xdr:col>6</xdr:col>
      <xdr:colOff>838201</xdr:colOff>
      <xdr:row>36</xdr:row>
      <xdr:rowOff>190499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4276725" y="6210299"/>
          <a:ext cx="752476" cy="1114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oneCellAnchor>
    <xdr:from>
      <xdr:col>0</xdr:col>
      <xdr:colOff>895351</xdr:colOff>
      <xdr:row>33</xdr:row>
      <xdr:rowOff>19050</xdr:rowOff>
    </xdr:from>
    <xdr:ext cx="466724" cy="436786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895351" y="6581775"/>
          <a:ext cx="466724" cy="436786"/>
        </a:xfrm>
        <a:prstGeom prst="rect">
          <a:avLst/>
        </a:prstGeom>
        <a:noFill/>
        <a:ln w="2540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Call Price</a:t>
          </a:r>
          <a:endParaRPr lang="en-CA" sz="1100"/>
        </a:p>
      </xdr:txBody>
    </xdr:sp>
    <xdr:clientData/>
  </xdr:oneCellAnchor>
  <xdr:oneCellAnchor>
    <xdr:from>
      <xdr:col>1</xdr:col>
      <xdr:colOff>47626</xdr:colOff>
      <xdr:row>31</xdr:row>
      <xdr:rowOff>9525</xdr:rowOff>
    </xdr:from>
    <xdr:ext cx="485774" cy="1809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1162051" y="6191250"/>
          <a:ext cx="485774" cy="180975"/>
        </a:xfrm>
        <a:prstGeom prst="rect">
          <a:avLst/>
        </a:prstGeom>
        <a:noFill/>
        <a:ln w="2540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CA" sz="1100"/>
        </a:p>
      </xdr:txBody>
    </xdr:sp>
    <xdr:clientData/>
  </xdr:oneCellAnchor>
  <xdr:twoCellAnchor>
    <xdr:from>
      <xdr:col>2</xdr:col>
      <xdr:colOff>104775</xdr:colOff>
      <xdr:row>25</xdr:row>
      <xdr:rowOff>9525</xdr:rowOff>
    </xdr:from>
    <xdr:to>
      <xdr:col>3</xdr:col>
      <xdr:colOff>28575</xdr:colOff>
      <xdr:row>26</xdr:row>
      <xdr:rowOff>9525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1752600" y="5048250"/>
          <a:ext cx="5334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oneCellAnchor>
    <xdr:from>
      <xdr:col>2</xdr:col>
      <xdr:colOff>180975</xdr:colOff>
      <xdr:row>27</xdr:row>
      <xdr:rowOff>28575</xdr:rowOff>
    </xdr:from>
    <xdr:ext cx="184731" cy="264560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1828800" y="4905375"/>
          <a:ext cx="184731" cy="264560"/>
        </a:xfrm>
        <a:prstGeom prst="rect">
          <a:avLst/>
        </a:prstGeom>
        <a:noFill/>
        <a:ln w="2540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CA" sz="1100" baseline="-25000"/>
        </a:p>
      </xdr:txBody>
    </xdr:sp>
    <xdr:clientData/>
  </xdr:oneCellAnchor>
  <xdr:twoCellAnchor>
    <xdr:from>
      <xdr:col>3</xdr:col>
      <xdr:colOff>9525</xdr:colOff>
      <xdr:row>26</xdr:row>
      <xdr:rowOff>9525</xdr:rowOff>
    </xdr:from>
    <xdr:to>
      <xdr:col>4</xdr:col>
      <xdr:colOff>114300</xdr:colOff>
      <xdr:row>27</xdr:row>
      <xdr:rowOff>9525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>
        <a:xfrm>
          <a:off x="2266950" y="5238750"/>
          <a:ext cx="5334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</xdr:colOff>
      <xdr:row>57</xdr:row>
      <xdr:rowOff>142875</xdr:rowOff>
    </xdr:from>
    <xdr:to>
      <xdr:col>21</xdr:col>
      <xdr:colOff>417084</xdr:colOff>
      <xdr:row>77</xdr:row>
      <xdr:rowOff>95250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77176" y="9372600"/>
          <a:ext cx="7665608" cy="3190875"/>
        </a:xfrm>
        <a:prstGeom prst="rect">
          <a:avLst/>
        </a:prstGeom>
      </xdr:spPr>
    </xdr:pic>
    <xdr:clientData/>
  </xdr:twoCellAnchor>
  <xdr:twoCellAnchor editAs="oneCell">
    <xdr:from>
      <xdr:col>8</xdr:col>
      <xdr:colOff>219711</xdr:colOff>
      <xdr:row>13</xdr:row>
      <xdr:rowOff>114300</xdr:rowOff>
    </xdr:from>
    <xdr:to>
      <xdr:col>21</xdr:col>
      <xdr:colOff>36623</xdr:colOff>
      <xdr:row>32</xdr:row>
      <xdr:rowOff>37565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5EC0C55-29E2-4320-9A31-50E7C073B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686" y="2219325"/>
          <a:ext cx="8284637" cy="29998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152400</xdr:rowOff>
        </xdr:from>
        <xdr:to>
          <xdr:col>16</xdr:col>
          <xdr:colOff>19050</xdr:colOff>
          <xdr:row>3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B732AC45-8140-4367-9450-1F4F033E0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Analysis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ikol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kolas\Downloads\Erich_Binomial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_Scholes"/>
      <sheetName val="Binomial_model"/>
      <sheetName val="Trend_line"/>
      <sheetName val="VBA - Binomial Option Pricing"/>
      <sheetName val="WTI Analysis"/>
    </sheetNames>
    <sheetDataSet>
      <sheetData sheetId="0" refreshError="1"/>
      <sheetData sheetId="1" refreshError="1"/>
      <sheetData sheetId="2">
        <row r="1">
          <cell r="B1" t="str">
            <v>Value</v>
          </cell>
        </row>
        <row r="2">
          <cell r="A2">
            <v>42366</v>
          </cell>
          <cell r="B2">
            <v>36.36</v>
          </cell>
          <cell r="C2">
            <v>37.502380952380953</v>
          </cell>
        </row>
        <row r="3">
          <cell r="A3">
            <v>42362</v>
          </cell>
          <cell r="B3">
            <v>37.619999999999997</v>
          </cell>
          <cell r="C3">
            <v>37.733809523809519</v>
          </cell>
        </row>
        <row r="4">
          <cell r="A4">
            <v>42361</v>
          </cell>
          <cell r="B4">
            <v>36.76</v>
          </cell>
          <cell r="C4">
            <v>37.90523809523809</v>
          </cell>
        </row>
        <row r="5">
          <cell r="A5">
            <v>42360</v>
          </cell>
          <cell r="B5">
            <v>36.119999999999997</v>
          </cell>
          <cell r="C5">
            <v>38.101904761904756</v>
          </cell>
        </row>
        <row r="6">
          <cell r="A6">
            <v>42359</v>
          </cell>
          <cell r="B6">
            <v>34.549999999999997</v>
          </cell>
          <cell r="C6">
            <v>38.251904761904761</v>
          </cell>
        </row>
        <row r="7">
          <cell r="A7">
            <v>42356</v>
          </cell>
          <cell r="B7">
            <v>34.72</v>
          </cell>
          <cell r="C7">
            <v>38.48238095238095</v>
          </cell>
        </row>
        <row r="8">
          <cell r="A8">
            <v>42355</v>
          </cell>
          <cell r="B8">
            <v>34.979999999999997</v>
          </cell>
          <cell r="C8">
            <v>38.76</v>
          </cell>
        </row>
        <row r="9">
          <cell r="A9">
            <v>42354</v>
          </cell>
          <cell r="B9">
            <v>35.549999999999997</v>
          </cell>
          <cell r="C9">
            <v>39.034761904761901</v>
          </cell>
        </row>
        <row r="10">
          <cell r="A10">
            <v>42353</v>
          </cell>
          <cell r="B10">
            <v>37.32</v>
          </cell>
          <cell r="C10">
            <v>39.28142857142857</v>
          </cell>
        </row>
        <row r="11">
          <cell r="A11">
            <v>42352</v>
          </cell>
          <cell r="B11">
            <v>36.31</v>
          </cell>
          <cell r="C11">
            <v>39.489047619047611</v>
          </cell>
        </row>
        <row r="12">
          <cell r="A12">
            <v>42349</v>
          </cell>
          <cell r="B12">
            <v>35.65</v>
          </cell>
          <cell r="C12">
            <v>39.697619047619042</v>
          </cell>
        </row>
        <row r="13">
          <cell r="A13">
            <v>42348</v>
          </cell>
          <cell r="B13">
            <v>36.76</v>
          </cell>
          <cell r="C13">
            <v>39.987619047619035</v>
          </cell>
        </row>
        <row r="14">
          <cell r="A14">
            <v>42347</v>
          </cell>
          <cell r="B14">
            <v>37.159999999999997</v>
          </cell>
          <cell r="C14">
            <v>40.282380952380947</v>
          </cell>
        </row>
        <row r="15">
          <cell r="A15">
            <v>42346</v>
          </cell>
          <cell r="B15">
            <v>37.46</v>
          </cell>
          <cell r="C15">
            <v>40.61904761904762</v>
          </cell>
        </row>
        <row r="16">
          <cell r="A16">
            <v>42345</v>
          </cell>
          <cell r="B16">
            <v>37.64</v>
          </cell>
          <cell r="C16">
            <v>40.924285714285716</v>
          </cell>
        </row>
        <row r="17">
          <cell r="A17">
            <v>42342</v>
          </cell>
          <cell r="B17">
            <v>40</v>
          </cell>
          <cell r="C17">
            <v>41.242380952380948</v>
          </cell>
        </row>
        <row r="18">
          <cell r="A18">
            <v>42341</v>
          </cell>
          <cell r="B18">
            <v>41.08</v>
          </cell>
          <cell r="C18">
            <v>41.493333333333325</v>
          </cell>
        </row>
        <row r="19">
          <cell r="A19">
            <v>42340</v>
          </cell>
          <cell r="B19">
            <v>39.93</v>
          </cell>
          <cell r="C19">
            <v>41.742857142857147</v>
          </cell>
        </row>
        <row r="20">
          <cell r="A20">
            <v>42339</v>
          </cell>
          <cell r="B20">
            <v>40.58</v>
          </cell>
          <cell r="C20">
            <v>42.121428571428581</v>
          </cell>
        </row>
        <row r="21">
          <cell r="A21">
            <v>42338</v>
          </cell>
          <cell r="B21">
            <v>40.43</v>
          </cell>
          <cell r="C21">
            <v>42.385238095238101</v>
          </cell>
        </row>
        <row r="22">
          <cell r="A22">
            <v>42335</v>
          </cell>
          <cell r="B22">
            <v>40.57</v>
          </cell>
          <cell r="C22">
            <v>42.67904761904763</v>
          </cell>
        </row>
        <row r="23">
          <cell r="A23">
            <v>42334</v>
          </cell>
          <cell r="B23">
            <v>41.22</v>
          </cell>
          <cell r="C23">
            <v>42.938571428571436</v>
          </cell>
        </row>
        <row r="24">
          <cell r="A24">
            <v>42333</v>
          </cell>
          <cell r="B24">
            <v>41.22</v>
          </cell>
          <cell r="C24">
            <v>43.162857142857149</v>
          </cell>
        </row>
        <row r="25">
          <cell r="A25">
            <v>42332</v>
          </cell>
          <cell r="B25">
            <v>40.89</v>
          </cell>
          <cell r="C25">
            <v>43.257619047619052</v>
          </cell>
        </row>
        <row r="26">
          <cell r="A26">
            <v>42331</v>
          </cell>
          <cell r="B26">
            <v>39.270000000000003</v>
          </cell>
          <cell r="C26">
            <v>43.367142857142859</v>
          </cell>
        </row>
        <row r="27">
          <cell r="A27">
            <v>42328</v>
          </cell>
          <cell r="B27">
            <v>39.39</v>
          </cell>
          <cell r="C27">
            <v>43.588095238095242</v>
          </cell>
        </row>
        <row r="28">
          <cell r="A28">
            <v>42327</v>
          </cell>
          <cell r="B28">
            <v>40.549999999999997</v>
          </cell>
          <cell r="C28">
            <v>43.850476190476186</v>
          </cell>
        </row>
        <row r="29">
          <cell r="A29">
            <v>42326</v>
          </cell>
          <cell r="B29">
            <v>40.75</v>
          </cell>
          <cell r="C29">
            <v>44.072857142857139</v>
          </cell>
        </row>
        <row r="30">
          <cell r="A30">
            <v>42325</v>
          </cell>
          <cell r="B30">
            <v>40.729999999999997</v>
          </cell>
          <cell r="C30">
            <v>44.315238095238094</v>
          </cell>
        </row>
        <row r="31">
          <cell r="A31">
            <v>42324</v>
          </cell>
          <cell r="B31">
            <v>41.68</v>
          </cell>
          <cell r="C31">
            <v>44.561904761904756</v>
          </cell>
        </row>
        <row r="32">
          <cell r="A32">
            <v>42321</v>
          </cell>
          <cell r="B32">
            <v>40.69</v>
          </cell>
          <cell r="C32">
            <v>44.829523809523799</v>
          </cell>
        </row>
        <row r="33">
          <cell r="A33">
            <v>42320</v>
          </cell>
          <cell r="B33">
            <v>41.74</v>
          </cell>
          <cell r="C33">
            <v>45.100476190476193</v>
          </cell>
        </row>
        <row r="34">
          <cell r="A34">
            <v>42319</v>
          </cell>
          <cell r="B34">
            <v>42.95</v>
          </cell>
          <cell r="C34">
            <v>45.333333333333336</v>
          </cell>
        </row>
        <row r="35">
          <cell r="A35">
            <v>42318</v>
          </cell>
          <cell r="B35">
            <v>44.23</v>
          </cell>
          <cell r="C35">
            <v>45.511904761904759</v>
          </cell>
        </row>
        <row r="36">
          <cell r="A36">
            <v>42317</v>
          </cell>
          <cell r="B36">
            <v>43.87</v>
          </cell>
          <cell r="C36">
            <v>45.648095238095237</v>
          </cell>
        </row>
        <row r="37">
          <cell r="A37">
            <v>42314</v>
          </cell>
          <cell r="B37">
            <v>44.32</v>
          </cell>
          <cell r="C37">
            <v>45.924285714285716</v>
          </cell>
        </row>
        <row r="38">
          <cell r="A38">
            <v>42313</v>
          </cell>
          <cell r="B38">
            <v>45.27</v>
          </cell>
          <cell r="C38">
            <v>46.169047619047618</v>
          </cell>
        </row>
        <row r="39">
          <cell r="A39">
            <v>42312</v>
          </cell>
          <cell r="B39">
            <v>46.32</v>
          </cell>
          <cell r="C39">
            <v>46.292380952380952</v>
          </cell>
        </row>
        <row r="40">
          <cell r="A40">
            <v>42311</v>
          </cell>
          <cell r="B40">
            <v>47.88</v>
          </cell>
          <cell r="C40">
            <v>46.397619047619045</v>
          </cell>
        </row>
        <row r="41">
          <cell r="A41">
            <v>42310</v>
          </cell>
          <cell r="B41">
            <v>46.12</v>
          </cell>
          <cell r="C41">
            <v>46.321428571428569</v>
          </cell>
        </row>
        <row r="42">
          <cell r="A42">
            <v>42307</v>
          </cell>
          <cell r="B42">
            <v>46.6</v>
          </cell>
          <cell r="C42">
            <v>46.293809523809529</v>
          </cell>
        </row>
        <row r="43">
          <cell r="A43">
            <v>42306</v>
          </cell>
          <cell r="B43">
            <v>46.02</v>
          </cell>
          <cell r="C43">
            <v>46.205714285714286</v>
          </cell>
        </row>
        <row r="44">
          <cell r="A44">
            <v>42305</v>
          </cell>
          <cell r="B44">
            <v>45.93</v>
          </cell>
          <cell r="C44">
            <v>46.16</v>
          </cell>
        </row>
        <row r="45">
          <cell r="A45">
            <v>42304</v>
          </cell>
          <cell r="B45">
            <v>43.21</v>
          </cell>
          <cell r="C45">
            <v>46.12714285714285</v>
          </cell>
        </row>
        <row r="46">
          <cell r="A46">
            <v>42303</v>
          </cell>
          <cell r="B46">
            <v>43.19</v>
          </cell>
          <cell r="C46">
            <v>46.183809523809522</v>
          </cell>
        </row>
        <row r="47">
          <cell r="A47">
            <v>42300</v>
          </cell>
          <cell r="B47">
            <v>43.91</v>
          </cell>
          <cell r="C47">
            <v>46.296190476190475</v>
          </cell>
        </row>
        <row r="48">
          <cell r="A48">
            <v>42299</v>
          </cell>
          <cell r="B48">
            <v>44.9</v>
          </cell>
          <cell r="C48">
            <v>46.345238095238088</v>
          </cell>
        </row>
        <row r="49">
          <cell r="A49">
            <v>42298</v>
          </cell>
          <cell r="B49">
            <v>45.22</v>
          </cell>
          <cell r="C49">
            <v>46.327619047619031</v>
          </cell>
        </row>
        <row r="50">
          <cell r="A50">
            <v>42297</v>
          </cell>
          <cell r="B50">
            <v>45.84</v>
          </cell>
          <cell r="C50">
            <v>46.372857142857136</v>
          </cell>
        </row>
        <row r="51">
          <cell r="A51">
            <v>42296</v>
          </cell>
          <cell r="B51">
            <v>45.91</v>
          </cell>
          <cell r="C51">
            <v>46.412380952380936</v>
          </cell>
        </row>
        <row r="52">
          <cell r="A52">
            <v>42293</v>
          </cell>
          <cell r="B52">
            <v>47.3</v>
          </cell>
          <cell r="C52">
            <v>46.355238095238086</v>
          </cell>
        </row>
        <row r="53">
          <cell r="A53">
            <v>42292</v>
          </cell>
          <cell r="B53">
            <v>46.38</v>
          </cell>
          <cell r="C53">
            <v>46.337619047619036</v>
          </cell>
        </row>
        <row r="54">
          <cell r="A54">
            <v>42291</v>
          </cell>
          <cell r="B54">
            <v>46.63</v>
          </cell>
          <cell r="C54">
            <v>46.372857142857143</v>
          </cell>
        </row>
        <row r="55">
          <cell r="A55">
            <v>42290</v>
          </cell>
          <cell r="B55">
            <v>46.7</v>
          </cell>
          <cell r="C55">
            <v>46.275238095238088</v>
          </cell>
        </row>
        <row r="56">
          <cell r="A56">
            <v>42289</v>
          </cell>
          <cell r="B56">
            <v>47.09</v>
          </cell>
          <cell r="C56">
            <v>46.149999999999991</v>
          </cell>
        </row>
        <row r="57">
          <cell r="A57">
            <v>42286</v>
          </cell>
          <cell r="B57">
            <v>49.67</v>
          </cell>
          <cell r="C57">
            <v>46.038571428571423</v>
          </cell>
        </row>
        <row r="58">
          <cell r="A58">
            <v>42285</v>
          </cell>
          <cell r="B58">
            <v>49.46</v>
          </cell>
          <cell r="C58">
            <v>45.856666666666669</v>
          </cell>
        </row>
        <row r="59">
          <cell r="A59">
            <v>42284</v>
          </cell>
          <cell r="B59">
            <v>47.86</v>
          </cell>
          <cell r="C59">
            <v>45.60285714285714</v>
          </cell>
        </row>
        <row r="60">
          <cell r="A60">
            <v>42283</v>
          </cell>
          <cell r="B60">
            <v>48.53</v>
          </cell>
          <cell r="C60">
            <v>45.51047619047619</v>
          </cell>
        </row>
        <row r="61">
          <cell r="A61">
            <v>42282</v>
          </cell>
          <cell r="B61">
            <v>46.28</v>
          </cell>
          <cell r="C61">
            <v>45.390952380952385</v>
          </cell>
        </row>
        <row r="62">
          <cell r="A62">
            <v>42279</v>
          </cell>
          <cell r="B62">
            <v>45.54</v>
          </cell>
          <cell r="C62">
            <v>45.413333333333334</v>
          </cell>
        </row>
        <row r="63">
          <cell r="A63">
            <v>42278</v>
          </cell>
          <cell r="B63">
            <v>44.75</v>
          </cell>
          <cell r="C63">
            <v>45.449523809523811</v>
          </cell>
        </row>
        <row r="64">
          <cell r="A64">
            <v>42277</v>
          </cell>
          <cell r="B64">
            <v>45.06</v>
          </cell>
          <cell r="C64">
            <v>45.479523809523812</v>
          </cell>
        </row>
        <row r="65">
          <cell r="A65">
            <v>42276</v>
          </cell>
          <cell r="B65">
            <v>45.24</v>
          </cell>
          <cell r="C65">
            <v>45.676666666666662</v>
          </cell>
        </row>
        <row r="66">
          <cell r="A66">
            <v>42275</v>
          </cell>
          <cell r="B66">
            <v>44.4</v>
          </cell>
          <cell r="C66">
            <v>45.679047619047616</v>
          </cell>
        </row>
        <row r="67">
          <cell r="A67">
            <v>42272</v>
          </cell>
          <cell r="B67">
            <v>45.55</v>
          </cell>
          <cell r="C67">
            <v>45.587142857142851</v>
          </cell>
        </row>
        <row r="68">
          <cell r="A68">
            <v>42271</v>
          </cell>
          <cell r="B68">
            <v>44.94</v>
          </cell>
          <cell r="C68">
            <v>45.251428571428569</v>
          </cell>
        </row>
        <row r="69">
          <cell r="A69">
            <v>42270</v>
          </cell>
          <cell r="B69">
            <v>44.53</v>
          </cell>
          <cell r="C69">
            <v>44.975714285714282</v>
          </cell>
        </row>
        <row r="70">
          <cell r="A70">
            <v>42269</v>
          </cell>
          <cell r="B70">
            <v>46.17</v>
          </cell>
          <cell r="C70">
            <v>44.6752380952381</v>
          </cell>
        </row>
        <row r="71">
          <cell r="A71">
            <v>42268</v>
          </cell>
          <cell r="B71">
            <v>46.67</v>
          </cell>
          <cell r="C71">
            <v>44.402857142857144</v>
          </cell>
        </row>
        <row r="72">
          <cell r="A72">
            <v>42265</v>
          </cell>
          <cell r="B72">
            <v>44.71</v>
          </cell>
          <cell r="C72">
            <v>44.132857142857148</v>
          </cell>
        </row>
        <row r="73">
          <cell r="A73">
            <v>42264</v>
          </cell>
          <cell r="B73">
            <v>46.93</v>
          </cell>
          <cell r="C73">
            <v>43.944285714285719</v>
          </cell>
        </row>
        <row r="74">
          <cell r="A74">
            <v>42263</v>
          </cell>
          <cell r="B74">
            <v>47.12</v>
          </cell>
          <cell r="C74">
            <v>43.737142857142864</v>
          </cell>
        </row>
        <row r="75">
          <cell r="A75">
            <v>42262</v>
          </cell>
          <cell r="B75">
            <v>44.58</v>
          </cell>
          <cell r="C75">
            <v>43.49</v>
          </cell>
        </row>
        <row r="76">
          <cell r="A76">
            <v>42261</v>
          </cell>
          <cell r="B76">
            <v>44.07</v>
          </cell>
          <cell r="C76">
            <v>43.388571428571431</v>
          </cell>
        </row>
        <row r="77">
          <cell r="A77">
            <v>42258</v>
          </cell>
          <cell r="B77">
            <v>44.75</v>
          </cell>
          <cell r="C77">
            <v>43.302857142857142</v>
          </cell>
        </row>
        <row r="78">
          <cell r="A78">
            <v>42257</v>
          </cell>
          <cell r="B78">
            <v>45.85</v>
          </cell>
          <cell r="C78">
            <v>43.230000000000004</v>
          </cell>
        </row>
        <row r="79">
          <cell r="A79">
            <v>42256</v>
          </cell>
          <cell r="B79">
            <v>44.13</v>
          </cell>
          <cell r="C79">
            <v>43.099523809523816</v>
          </cell>
        </row>
        <row r="80">
          <cell r="A80">
            <v>42255</v>
          </cell>
          <cell r="B80">
            <v>45.92</v>
          </cell>
          <cell r="C80">
            <v>43.138095238095239</v>
          </cell>
        </row>
        <row r="81">
          <cell r="A81">
            <v>42251</v>
          </cell>
          <cell r="B81">
            <v>46.02</v>
          </cell>
          <cell r="C81">
            <v>43.040476190476191</v>
          </cell>
        </row>
        <row r="82">
          <cell r="A82">
            <v>42250</v>
          </cell>
          <cell r="B82">
            <v>46.75</v>
          </cell>
          <cell r="C82">
            <v>42.977142857142859</v>
          </cell>
        </row>
        <row r="83">
          <cell r="A83">
            <v>42249</v>
          </cell>
          <cell r="B83">
            <v>46.3</v>
          </cell>
          <cell r="C83">
            <v>42.9</v>
          </cell>
        </row>
        <row r="84">
          <cell r="A84">
            <v>42248</v>
          </cell>
          <cell r="B84">
            <v>45.38</v>
          </cell>
          <cell r="C84">
            <v>42.873809523809527</v>
          </cell>
        </row>
        <row r="85">
          <cell r="A85">
            <v>42247</v>
          </cell>
          <cell r="B85">
            <v>49.2</v>
          </cell>
          <cell r="C85">
            <v>42.867619047619044</v>
          </cell>
        </row>
        <row r="86">
          <cell r="A86">
            <v>42244</v>
          </cell>
          <cell r="B86">
            <v>45.29</v>
          </cell>
          <cell r="C86">
            <v>42.768095238095235</v>
          </cell>
        </row>
        <row r="87">
          <cell r="A87">
            <v>42243</v>
          </cell>
          <cell r="B87">
            <v>42.47</v>
          </cell>
          <cell r="C87">
            <v>42.922380952380948</v>
          </cell>
        </row>
        <row r="88">
          <cell r="A88">
            <v>42242</v>
          </cell>
          <cell r="B88">
            <v>38.5</v>
          </cell>
          <cell r="C88">
            <v>43.222380952380945</v>
          </cell>
        </row>
        <row r="89">
          <cell r="A89">
            <v>42241</v>
          </cell>
          <cell r="B89">
            <v>39.15</v>
          </cell>
          <cell r="C89">
            <v>43.673333333333325</v>
          </cell>
        </row>
        <row r="90">
          <cell r="A90">
            <v>42240</v>
          </cell>
          <cell r="B90">
            <v>38.22</v>
          </cell>
          <cell r="C90">
            <v>44.055238095238096</v>
          </cell>
        </row>
        <row r="91">
          <cell r="A91">
            <v>42237</v>
          </cell>
          <cell r="B91">
            <v>40.450000000000003</v>
          </cell>
          <cell r="C91">
            <v>44.519999999999996</v>
          </cell>
        </row>
        <row r="92">
          <cell r="A92">
            <v>42236</v>
          </cell>
          <cell r="B92">
            <v>41</v>
          </cell>
          <cell r="C92">
            <v>44.884761904761909</v>
          </cell>
        </row>
        <row r="93">
          <cell r="A93">
            <v>42235</v>
          </cell>
          <cell r="B93">
            <v>40.75</v>
          </cell>
          <cell r="C93">
            <v>45.278571428571432</v>
          </cell>
        </row>
        <row r="94">
          <cell r="A94">
            <v>42234</v>
          </cell>
          <cell r="B94">
            <v>42.58</v>
          </cell>
          <cell r="C94">
            <v>45.747142857142862</v>
          </cell>
        </row>
        <row r="95">
          <cell r="A95">
            <v>42233</v>
          </cell>
          <cell r="B95">
            <v>41.93</v>
          </cell>
          <cell r="C95">
            <v>46.105714285714285</v>
          </cell>
        </row>
        <row r="96">
          <cell r="A96">
            <v>42230</v>
          </cell>
          <cell r="B96">
            <v>42.45</v>
          </cell>
          <cell r="C96">
            <v>46.531904761904762</v>
          </cell>
        </row>
        <row r="97">
          <cell r="A97">
            <v>42229</v>
          </cell>
          <cell r="B97">
            <v>42.27</v>
          </cell>
          <cell r="C97">
            <v>46.934285714285714</v>
          </cell>
        </row>
        <row r="98">
          <cell r="A98">
            <v>42228</v>
          </cell>
          <cell r="B98">
            <v>43.22</v>
          </cell>
          <cell r="C98">
            <v>47.36904761904762</v>
          </cell>
        </row>
        <row r="99">
          <cell r="A99">
            <v>42227</v>
          </cell>
          <cell r="B99">
            <v>43.11</v>
          </cell>
          <cell r="C99">
            <v>47.837142857142851</v>
          </cell>
        </row>
        <row r="100">
          <cell r="A100">
            <v>42226</v>
          </cell>
          <cell r="B100">
            <v>44.94</v>
          </cell>
          <cell r="C100">
            <v>48.269523809523804</v>
          </cell>
        </row>
        <row r="101">
          <cell r="A101">
            <v>42223</v>
          </cell>
          <cell r="B101">
            <v>43.87</v>
          </cell>
          <cell r="C101">
            <v>48.640952380952385</v>
          </cell>
        </row>
        <row r="102">
          <cell r="A102">
            <v>42222</v>
          </cell>
          <cell r="B102">
            <v>44.69</v>
          </cell>
          <cell r="C102">
            <v>49.06428571428571</v>
          </cell>
        </row>
        <row r="103">
          <cell r="A103">
            <v>42221</v>
          </cell>
          <cell r="B103">
            <v>45.13</v>
          </cell>
          <cell r="C103">
            <v>49.393809523809523</v>
          </cell>
        </row>
        <row r="104">
          <cell r="A104">
            <v>42220</v>
          </cell>
          <cell r="B104">
            <v>45.75</v>
          </cell>
          <cell r="C104">
            <v>49.736666666666665</v>
          </cell>
        </row>
        <row r="105">
          <cell r="A105">
            <v>42219</v>
          </cell>
          <cell r="B105">
            <v>45.25</v>
          </cell>
          <cell r="C105">
            <v>50.057142857142857</v>
          </cell>
        </row>
        <row r="106">
          <cell r="A106">
            <v>42216</v>
          </cell>
          <cell r="B106">
            <v>47.11</v>
          </cell>
          <cell r="C106">
            <v>50.613333333333337</v>
          </cell>
        </row>
        <row r="107">
          <cell r="A107">
            <v>42215</v>
          </cell>
          <cell r="B107">
            <v>48.53</v>
          </cell>
          <cell r="C107">
            <v>51.080952380952375</v>
          </cell>
        </row>
        <row r="108">
          <cell r="A108">
            <v>42214</v>
          </cell>
          <cell r="B108">
            <v>48.77</v>
          </cell>
          <cell r="C108">
            <v>51.481428571428566</v>
          </cell>
        </row>
        <row r="109">
          <cell r="A109">
            <v>42213</v>
          </cell>
          <cell r="B109">
            <v>47.97</v>
          </cell>
          <cell r="C109">
            <v>51.991428571428571</v>
          </cell>
        </row>
        <row r="110">
          <cell r="A110">
            <v>42212</v>
          </cell>
          <cell r="B110">
            <v>47.17</v>
          </cell>
          <cell r="C110">
            <v>52.485238095238088</v>
          </cell>
        </row>
        <row r="111">
          <cell r="A111">
            <v>42209</v>
          </cell>
          <cell r="B111">
            <v>47.98</v>
          </cell>
          <cell r="C111">
            <v>53.068095238095232</v>
          </cell>
        </row>
        <row r="112">
          <cell r="A112">
            <v>42208</v>
          </cell>
          <cell r="B112">
            <v>48.11</v>
          </cell>
          <cell r="C112">
            <v>53.620952380952382</v>
          </cell>
        </row>
        <row r="113">
          <cell r="A113">
            <v>42207</v>
          </cell>
          <cell r="B113">
            <v>49.27</v>
          </cell>
          <cell r="C113">
            <v>54.187619047619052</v>
          </cell>
        </row>
        <row r="114">
          <cell r="A114">
            <v>42206</v>
          </cell>
          <cell r="B114">
            <v>50.59</v>
          </cell>
          <cell r="C114">
            <v>54.748571428571417</v>
          </cell>
        </row>
        <row r="115">
          <cell r="A115">
            <v>42205</v>
          </cell>
          <cell r="B115">
            <v>50.11</v>
          </cell>
          <cell r="C115">
            <v>55.197142857142865</v>
          </cell>
        </row>
        <row r="116">
          <cell r="A116">
            <v>42202</v>
          </cell>
          <cell r="B116">
            <v>50.88</v>
          </cell>
          <cell r="C116">
            <v>55.649999999999991</v>
          </cell>
        </row>
        <row r="117">
          <cell r="A117">
            <v>42201</v>
          </cell>
          <cell r="B117">
            <v>50.9</v>
          </cell>
          <cell r="C117">
            <v>56.103809523809524</v>
          </cell>
        </row>
        <row r="118">
          <cell r="A118">
            <v>42200</v>
          </cell>
          <cell r="B118">
            <v>51.4</v>
          </cell>
          <cell r="C118">
            <v>56.531904761904762</v>
          </cell>
        </row>
        <row r="119">
          <cell r="A119">
            <v>42199</v>
          </cell>
          <cell r="B119">
            <v>53.05</v>
          </cell>
          <cell r="C119">
            <v>56.941904761904773</v>
          </cell>
        </row>
        <row r="120">
          <cell r="A120">
            <v>42198</v>
          </cell>
          <cell r="B120">
            <v>52.19</v>
          </cell>
          <cell r="C120">
            <v>57.250476190476192</v>
          </cell>
        </row>
        <row r="121">
          <cell r="A121">
            <v>42195</v>
          </cell>
          <cell r="B121">
            <v>52.74</v>
          </cell>
          <cell r="C121">
            <v>57.62047619047619</v>
          </cell>
        </row>
        <row r="122">
          <cell r="A122">
            <v>42194</v>
          </cell>
          <cell r="B122">
            <v>52.76</v>
          </cell>
          <cell r="C122">
            <v>58.001428571428569</v>
          </cell>
        </row>
        <row r="123">
          <cell r="A123">
            <v>42193</v>
          </cell>
          <cell r="B123">
            <v>51.61</v>
          </cell>
          <cell r="C123">
            <v>58.410952380952374</v>
          </cell>
        </row>
        <row r="124">
          <cell r="A124">
            <v>42192</v>
          </cell>
          <cell r="B124">
            <v>52.33</v>
          </cell>
          <cell r="C124">
            <v>58.81761904761904</v>
          </cell>
        </row>
        <row r="125">
          <cell r="A125">
            <v>42191</v>
          </cell>
          <cell r="B125">
            <v>52.48</v>
          </cell>
          <cell r="C125">
            <v>59.094761904761903</v>
          </cell>
        </row>
        <row r="126">
          <cell r="A126">
            <v>42188</v>
          </cell>
          <cell r="B126">
            <v>56.93</v>
          </cell>
          <cell r="C126">
            <v>59.410476190476189</v>
          </cell>
        </row>
        <row r="127">
          <cell r="A127">
            <v>42187</v>
          </cell>
          <cell r="B127">
            <v>56.93</v>
          </cell>
          <cell r="C127">
            <v>59.461428571428577</v>
          </cell>
        </row>
        <row r="128">
          <cell r="A128">
            <v>42186</v>
          </cell>
          <cell r="B128">
            <v>56.94</v>
          </cell>
          <cell r="C128">
            <v>59.591904761904757</v>
          </cell>
        </row>
        <row r="129">
          <cell r="A129">
            <v>42185</v>
          </cell>
          <cell r="B129">
            <v>59.48</v>
          </cell>
          <cell r="C129">
            <v>59.799523809523805</v>
          </cell>
        </row>
        <row r="130">
          <cell r="A130">
            <v>42184</v>
          </cell>
          <cell r="B130">
            <v>58.34</v>
          </cell>
          <cell r="C130">
            <v>59.835714285714282</v>
          </cell>
        </row>
        <row r="131">
          <cell r="A131">
            <v>42181</v>
          </cell>
          <cell r="B131">
            <v>59.41</v>
          </cell>
          <cell r="C131">
            <v>59.926666666666669</v>
          </cell>
        </row>
        <row r="132">
          <cell r="A132">
            <v>42180</v>
          </cell>
          <cell r="B132">
            <v>59.59</v>
          </cell>
          <cell r="C132">
            <v>59.844761904761903</v>
          </cell>
        </row>
        <row r="133">
          <cell r="A133">
            <v>42179</v>
          </cell>
          <cell r="B133">
            <v>60.01</v>
          </cell>
          <cell r="C133">
            <v>59.745714285714278</v>
          </cell>
        </row>
        <row r="134">
          <cell r="A134">
            <v>42178</v>
          </cell>
          <cell r="B134">
            <v>61.05</v>
          </cell>
          <cell r="C134">
            <v>59.616190476190468</v>
          </cell>
        </row>
        <row r="135">
          <cell r="A135">
            <v>42177</v>
          </cell>
          <cell r="B135">
            <v>60.01</v>
          </cell>
          <cell r="C135">
            <v>59.512857142857143</v>
          </cell>
        </row>
        <row r="136">
          <cell r="A136">
            <v>42174</v>
          </cell>
          <cell r="B136">
            <v>59.62</v>
          </cell>
          <cell r="C136">
            <v>59.459047619047624</v>
          </cell>
        </row>
        <row r="137">
          <cell r="A137">
            <v>42173</v>
          </cell>
          <cell r="B137">
            <v>60.41</v>
          </cell>
          <cell r="C137">
            <v>59.485714285714302</v>
          </cell>
        </row>
        <row r="138">
          <cell r="A138">
            <v>42172</v>
          </cell>
          <cell r="B138">
            <v>59.89</v>
          </cell>
          <cell r="C138">
            <v>59.416666666666679</v>
          </cell>
        </row>
        <row r="139">
          <cell r="A139">
            <v>42171</v>
          </cell>
          <cell r="B139">
            <v>60.01</v>
          </cell>
          <cell r="C139">
            <v>59.293333333333329</v>
          </cell>
        </row>
        <row r="140">
          <cell r="A140">
            <v>42170</v>
          </cell>
          <cell r="B140">
            <v>59.53</v>
          </cell>
          <cell r="C140">
            <v>59.266190476190474</v>
          </cell>
        </row>
        <row r="141">
          <cell r="A141">
            <v>42167</v>
          </cell>
          <cell r="B141">
            <v>59.96</v>
          </cell>
          <cell r="C141">
            <v>59.275714285714287</v>
          </cell>
        </row>
        <row r="142">
          <cell r="A142">
            <v>42166</v>
          </cell>
          <cell r="B142">
            <v>60.74</v>
          </cell>
          <cell r="C142">
            <v>59.272380952380963</v>
          </cell>
        </row>
        <row r="143">
          <cell r="A143">
            <v>42165</v>
          </cell>
          <cell r="B143">
            <v>61.36</v>
          </cell>
          <cell r="C143">
            <v>59.260952380952382</v>
          </cell>
        </row>
        <row r="144">
          <cell r="A144">
            <v>42164</v>
          </cell>
          <cell r="B144">
            <v>60.15</v>
          </cell>
          <cell r="C144">
            <v>59.230476190476189</v>
          </cell>
        </row>
        <row r="145">
          <cell r="A145">
            <v>42163</v>
          </cell>
          <cell r="B145">
            <v>58.15</v>
          </cell>
          <cell r="C145">
            <v>59.186666666666667</v>
          </cell>
        </row>
        <row r="146">
          <cell r="A146">
            <v>42160</v>
          </cell>
          <cell r="B146">
            <v>59.11</v>
          </cell>
          <cell r="C146">
            <v>59.246666666666655</v>
          </cell>
        </row>
        <row r="147">
          <cell r="A147">
            <v>42159</v>
          </cell>
          <cell r="B147">
            <v>58</v>
          </cell>
          <cell r="C147">
            <v>59.240952380952379</v>
          </cell>
        </row>
        <row r="148">
          <cell r="A148">
            <v>42158</v>
          </cell>
          <cell r="B148">
            <v>59.67</v>
          </cell>
          <cell r="C148">
            <v>59.380476190476188</v>
          </cell>
        </row>
        <row r="149">
          <cell r="A149">
            <v>42157</v>
          </cell>
          <cell r="B149">
            <v>61.3</v>
          </cell>
          <cell r="C149">
            <v>59.414285714285725</v>
          </cell>
        </row>
        <row r="150">
          <cell r="A150">
            <v>42156</v>
          </cell>
          <cell r="B150">
            <v>60.24</v>
          </cell>
          <cell r="C150">
            <v>59.300952380952388</v>
          </cell>
        </row>
        <row r="151">
          <cell r="A151">
            <v>42153</v>
          </cell>
          <cell r="B151">
            <v>60.25</v>
          </cell>
          <cell r="C151">
            <v>59.24666666666667</v>
          </cell>
        </row>
        <row r="152">
          <cell r="A152">
            <v>42152</v>
          </cell>
          <cell r="B152">
            <v>57.69</v>
          </cell>
          <cell r="C152">
            <v>59.216666666666661</v>
          </cell>
        </row>
        <row r="153">
          <cell r="A153">
            <v>42151</v>
          </cell>
          <cell r="B153">
            <v>57.51</v>
          </cell>
          <cell r="C153">
            <v>59.257619047619031</v>
          </cell>
        </row>
        <row r="154">
          <cell r="A154">
            <v>42150</v>
          </cell>
          <cell r="B154">
            <v>57.29</v>
          </cell>
          <cell r="C154">
            <v>59.23571428571428</v>
          </cell>
        </row>
        <row r="155">
          <cell r="A155">
            <v>42149</v>
          </cell>
          <cell r="B155">
            <v>58.88</v>
          </cell>
          <cell r="C155">
            <v>59.153333333333322</v>
          </cell>
        </row>
        <row r="156">
          <cell r="A156">
            <v>42146</v>
          </cell>
          <cell r="B156">
            <v>58.88</v>
          </cell>
          <cell r="C156">
            <v>59.015238095238089</v>
          </cell>
        </row>
        <row r="157">
          <cell r="A157">
            <v>42145</v>
          </cell>
          <cell r="B157">
            <v>60.18</v>
          </cell>
          <cell r="C157">
            <v>58.906190476190467</v>
          </cell>
        </row>
        <row r="158">
          <cell r="A158">
            <v>42144</v>
          </cell>
          <cell r="B158">
            <v>58.96</v>
          </cell>
          <cell r="C158">
            <v>58.715238095238085</v>
          </cell>
        </row>
        <row r="159">
          <cell r="A159">
            <v>42143</v>
          </cell>
          <cell r="B159">
            <v>57.3</v>
          </cell>
          <cell r="C159">
            <v>58.554285714285712</v>
          </cell>
        </row>
        <row r="160">
          <cell r="A160">
            <v>42142</v>
          </cell>
          <cell r="B160">
            <v>59.44</v>
          </cell>
          <cell r="C160">
            <v>58.509999999999977</v>
          </cell>
        </row>
        <row r="161">
          <cell r="A161">
            <v>42139</v>
          </cell>
          <cell r="B161">
            <v>59.73</v>
          </cell>
          <cell r="C161">
            <v>58.332380952380944</v>
          </cell>
        </row>
        <row r="162">
          <cell r="A162">
            <v>42138</v>
          </cell>
          <cell r="B162">
            <v>59.89</v>
          </cell>
          <cell r="C162">
            <v>58.187619047619037</v>
          </cell>
        </row>
        <row r="163">
          <cell r="A163">
            <v>42137</v>
          </cell>
          <cell r="B163">
            <v>60.5</v>
          </cell>
          <cell r="C163">
            <v>58.014285714285712</v>
          </cell>
        </row>
        <row r="164">
          <cell r="A164">
            <v>42136</v>
          </cell>
          <cell r="B164">
            <v>60.72</v>
          </cell>
          <cell r="C164">
            <v>57.671428571428564</v>
          </cell>
        </row>
        <row r="165">
          <cell r="A165">
            <v>42135</v>
          </cell>
          <cell r="B165">
            <v>59.23</v>
          </cell>
          <cell r="C165">
            <v>57.253809523809529</v>
          </cell>
        </row>
        <row r="166">
          <cell r="A166">
            <v>42132</v>
          </cell>
          <cell r="B166">
            <v>59.41</v>
          </cell>
          <cell r="C166">
            <v>56.891904761904776</v>
          </cell>
        </row>
        <row r="167">
          <cell r="A167">
            <v>42131</v>
          </cell>
          <cell r="B167">
            <v>58.99</v>
          </cell>
          <cell r="C167">
            <v>56.481428571428587</v>
          </cell>
        </row>
        <row r="168">
          <cell r="A168">
            <v>42130</v>
          </cell>
          <cell r="B168">
            <v>60.93</v>
          </cell>
          <cell r="C168">
            <v>56.074285714285722</v>
          </cell>
        </row>
        <row r="169">
          <cell r="A169">
            <v>42129</v>
          </cell>
          <cell r="B169">
            <v>60.38</v>
          </cell>
          <cell r="C169">
            <v>55.74190476190477</v>
          </cell>
        </row>
        <row r="170">
          <cell r="A170">
            <v>42128</v>
          </cell>
          <cell r="B170">
            <v>58.92</v>
          </cell>
          <cell r="C170">
            <v>55.346666666666664</v>
          </cell>
        </row>
        <row r="171">
          <cell r="A171">
            <v>42125</v>
          </cell>
          <cell r="B171">
            <v>59.1</v>
          </cell>
          <cell r="C171">
            <v>54.880476190476188</v>
          </cell>
        </row>
        <row r="172">
          <cell r="A172">
            <v>42124</v>
          </cell>
          <cell r="B172">
            <v>59.62</v>
          </cell>
          <cell r="C172">
            <v>54.405714285714296</v>
          </cell>
        </row>
        <row r="173">
          <cell r="A173">
            <v>42123</v>
          </cell>
          <cell r="B173">
            <v>58.55</v>
          </cell>
          <cell r="C173">
            <v>53.953333333333333</v>
          </cell>
        </row>
        <row r="174">
          <cell r="A174">
            <v>42122</v>
          </cell>
          <cell r="B174">
            <v>57.05</v>
          </cell>
          <cell r="C174">
            <v>53.437619047619052</v>
          </cell>
        </row>
        <row r="175">
          <cell r="A175">
            <v>42121</v>
          </cell>
          <cell r="B175">
            <v>55.56</v>
          </cell>
          <cell r="C175">
            <v>53.038095238095245</v>
          </cell>
        </row>
        <row r="176">
          <cell r="A176">
            <v>42118</v>
          </cell>
          <cell r="B176">
            <v>55.98</v>
          </cell>
          <cell r="C176">
            <v>52.717619047619053</v>
          </cell>
        </row>
        <row r="177">
          <cell r="A177">
            <v>42117</v>
          </cell>
          <cell r="B177">
            <v>56.59</v>
          </cell>
          <cell r="C177">
            <v>52.500000000000014</v>
          </cell>
        </row>
        <row r="178">
          <cell r="A178">
            <v>42116</v>
          </cell>
          <cell r="B178">
            <v>56.17</v>
          </cell>
          <cell r="C178">
            <v>52.126666666666672</v>
          </cell>
        </row>
        <row r="179">
          <cell r="A179">
            <v>42115</v>
          </cell>
          <cell r="B179">
            <v>55.58</v>
          </cell>
          <cell r="C179">
            <v>51.691428571428581</v>
          </cell>
        </row>
        <row r="180">
          <cell r="A180">
            <v>42114</v>
          </cell>
          <cell r="B180">
            <v>56.37</v>
          </cell>
          <cell r="C180">
            <v>51.301904761904765</v>
          </cell>
        </row>
        <row r="181">
          <cell r="A181">
            <v>42111</v>
          </cell>
          <cell r="B181">
            <v>55.71</v>
          </cell>
          <cell r="C181">
            <v>50.808095238095227</v>
          </cell>
        </row>
        <row r="182">
          <cell r="A182">
            <v>42110</v>
          </cell>
          <cell r="B182">
            <v>56.69</v>
          </cell>
          <cell r="C182">
            <v>50.251428571428569</v>
          </cell>
        </row>
        <row r="183">
          <cell r="A183">
            <v>42109</v>
          </cell>
          <cell r="B183">
            <v>56.25</v>
          </cell>
          <cell r="C183">
            <v>49.677142857142861</v>
          </cell>
        </row>
        <row r="184">
          <cell r="A184">
            <v>42108</v>
          </cell>
          <cell r="B184">
            <v>53.3</v>
          </cell>
          <cell r="C184">
            <v>49.064761904761902</v>
          </cell>
        </row>
        <row r="185">
          <cell r="A185">
            <v>42107</v>
          </cell>
          <cell r="B185">
            <v>51.95</v>
          </cell>
          <cell r="C185">
            <v>48.618571428571421</v>
          </cell>
        </row>
        <row r="186">
          <cell r="A186">
            <v>42104</v>
          </cell>
          <cell r="B186">
            <v>51.63</v>
          </cell>
          <cell r="C186">
            <v>48.281904761904755</v>
          </cell>
        </row>
        <row r="187">
          <cell r="A187">
            <v>42103</v>
          </cell>
          <cell r="B187">
            <v>50.79</v>
          </cell>
          <cell r="C187">
            <v>48.067142857142848</v>
          </cell>
        </row>
        <row r="188">
          <cell r="A188">
            <v>42102</v>
          </cell>
          <cell r="B188">
            <v>50.44</v>
          </cell>
          <cell r="C188">
            <v>47.937142857142852</v>
          </cell>
        </row>
        <row r="189">
          <cell r="A189">
            <v>42101</v>
          </cell>
          <cell r="B189">
            <v>53.95</v>
          </cell>
          <cell r="C189">
            <v>47.840952380952366</v>
          </cell>
        </row>
        <row r="190">
          <cell r="A190">
            <v>42100</v>
          </cell>
          <cell r="B190">
            <v>52.08</v>
          </cell>
          <cell r="C190">
            <v>47.650476190476191</v>
          </cell>
        </row>
        <row r="191">
          <cell r="A191">
            <v>42097</v>
          </cell>
          <cell r="B191">
            <v>49.13</v>
          </cell>
          <cell r="C191">
            <v>47.532857142857132</v>
          </cell>
        </row>
        <row r="192">
          <cell r="A192">
            <v>42096</v>
          </cell>
          <cell r="B192">
            <v>49.13</v>
          </cell>
          <cell r="C192">
            <v>47.610476190476184</v>
          </cell>
        </row>
        <row r="193">
          <cell r="A193">
            <v>42095</v>
          </cell>
          <cell r="B193">
            <v>50.12</v>
          </cell>
          <cell r="C193">
            <v>47.724761904761898</v>
          </cell>
        </row>
        <row r="194">
          <cell r="A194">
            <v>42094</v>
          </cell>
          <cell r="B194">
            <v>47.72</v>
          </cell>
          <cell r="C194">
            <v>47.739523809523803</v>
          </cell>
        </row>
        <row r="195">
          <cell r="A195">
            <v>42093</v>
          </cell>
          <cell r="B195">
            <v>48.66</v>
          </cell>
          <cell r="C195">
            <v>47.828571428571422</v>
          </cell>
        </row>
        <row r="196">
          <cell r="A196">
            <v>42090</v>
          </cell>
          <cell r="B196">
            <v>48.83</v>
          </cell>
          <cell r="C196">
            <v>47.884761904761909</v>
          </cell>
        </row>
        <row r="197">
          <cell r="A197">
            <v>42089</v>
          </cell>
          <cell r="B197">
            <v>51.41</v>
          </cell>
          <cell r="C197">
            <v>47.828571428571429</v>
          </cell>
        </row>
        <row r="198">
          <cell r="A198">
            <v>42088</v>
          </cell>
          <cell r="B198">
            <v>48.75</v>
          </cell>
          <cell r="C198">
            <v>47.773333333333333</v>
          </cell>
        </row>
        <row r="199">
          <cell r="A199">
            <v>42087</v>
          </cell>
          <cell r="B199">
            <v>47.03</v>
          </cell>
          <cell r="C199">
            <v>47.76047619047619</v>
          </cell>
        </row>
        <row r="200">
          <cell r="A200">
            <v>42086</v>
          </cell>
          <cell r="B200">
            <v>47.4</v>
          </cell>
          <cell r="C200">
            <v>47.88095238095238</v>
          </cell>
        </row>
        <row r="201">
          <cell r="A201">
            <v>42083</v>
          </cell>
          <cell r="B201">
            <v>46</v>
          </cell>
          <cell r="C201">
            <v>48.00238095238096</v>
          </cell>
        </row>
        <row r="202">
          <cell r="A202">
            <v>42082</v>
          </cell>
          <cell r="B202">
            <v>44.02</v>
          </cell>
          <cell r="C202">
            <v>48.246190476190485</v>
          </cell>
        </row>
        <row r="203">
          <cell r="A203">
            <v>42081</v>
          </cell>
          <cell r="B203">
            <v>44.63</v>
          </cell>
          <cell r="C203">
            <v>48.632380952380949</v>
          </cell>
        </row>
        <row r="204">
          <cell r="A204">
            <v>42080</v>
          </cell>
          <cell r="B204">
            <v>43.39</v>
          </cell>
          <cell r="C204">
            <v>49.057619047619049</v>
          </cell>
        </row>
        <row r="205">
          <cell r="A205">
            <v>42079</v>
          </cell>
          <cell r="B205">
            <v>43.93</v>
          </cell>
          <cell r="C205">
            <v>49.499047619047623</v>
          </cell>
        </row>
        <row r="206">
          <cell r="A206">
            <v>42076</v>
          </cell>
          <cell r="B206">
            <v>44.88</v>
          </cell>
          <cell r="C206">
            <v>49.914761904761903</v>
          </cell>
        </row>
        <row r="207">
          <cell r="A207">
            <v>42075</v>
          </cell>
          <cell r="B207">
            <v>47.12</v>
          </cell>
          <cell r="C207">
            <v>50.214285714285715</v>
          </cell>
        </row>
        <row r="208">
          <cell r="A208">
            <v>42074</v>
          </cell>
          <cell r="B208">
            <v>48.06</v>
          </cell>
          <cell r="C208">
            <v>50.294285714285721</v>
          </cell>
        </row>
        <row r="209">
          <cell r="A209">
            <v>42073</v>
          </cell>
          <cell r="B209">
            <v>48.42</v>
          </cell>
          <cell r="C209">
            <v>50.389523809523801</v>
          </cell>
        </row>
        <row r="210">
          <cell r="A210">
            <v>42072</v>
          </cell>
          <cell r="B210">
            <v>49.95</v>
          </cell>
          <cell r="C210">
            <v>50.607142857142854</v>
          </cell>
        </row>
        <row r="211">
          <cell r="A211">
            <v>42069</v>
          </cell>
          <cell r="B211">
            <v>49.61</v>
          </cell>
          <cell r="C211">
            <v>50.688571428571429</v>
          </cell>
        </row>
        <row r="212">
          <cell r="A212">
            <v>42068</v>
          </cell>
          <cell r="B212">
            <v>50.76</v>
          </cell>
          <cell r="C212">
            <v>50.729999999999983</v>
          </cell>
        </row>
        <row r="213">
          <cell r="A213">
            <v>42067</v>
          </cell>
          <cell r="B213">
            <v>51.53</v>
          </cell>
          <cell r="C213">
            <v>50.62</v>
          </cell>
        </row>
        <row r="214">
          <cell r="A214">
            <v>42066</v>
          </cell>
          <cell r="B214">
            <v>50.43</v>
          </cell>
          <cell r="C214">
            <v>50.691904761904759</v>
          </cell>
        </row>
        <row r="215">
          <cell r="A215">
            <v>42065</v>
          </cell>
          <cell r="B215">
            <v>49.59</v>
          </cell>
          <cell r="C215">
            <v>50.635714285714279</v>
          </cell>
        </row>
        <row r="216">
          <cell r="A216">
            <v>42062</v>
          </cell>
          <cell r="B216">
            <v>49.84</v>
          </cell>
          <cell r="C216">
            <v>50.55</v>
          </cell>
        </row>
        <row r="217">
          <cell r="A217">
            <v>42061</v>
          </cell>
          <cell r="B217">
            <v>47.65</v>
          </cell>
          <cell r="C217">
            <v>50.277619047619041</v>
          </cell>
        </row>
        <row r="218">
          <cell r="A218">
            <v>42060</v>
          </cell>
          <cell r="B218">
            <v>50.25</v>
          </cell>
          <cell r="C218">
            <v>50.107619047619046</v>
          </cell>
        </row>
        <row r="219">
          <cell r="A219">
            <v>42059</v>
          </cell>
          <cell r="B219">
            <v>48.48</v>
          </cell>
          <cell r="C219">
            <v>49.897619047619052</v>
          </cell>
        </row>
        <row r="220">
          <cell r="A220">
            <v>42058</v>
          </cell>
          <cell r="B220">
            <v>49.56</v>
          </cell>
          <cell r="C220">
            <v>49.722380952380959</v>
          </cell>
        </row>
        <row r="221">
          <cell r="A221">
            <v>42055</v>
          </cell>
          <cell r="B221">
            <v>49.95</v>
          </cell>
          <cell r="C221">
            <v>49.517619047619043</v>
          </cell>
        </row>
        <row r="222">
          <cell r="A222">
            <v>42054</v>
          </cell>
          <cell r="B222">
            <v>51.12</v>
          </cell>
          <cell r="C222">
            <v>49.326190476190483</v>
          </cell>
        </row>
        <row r="223">
          <cell r="A223">
            <v>42053</v>
          </cell>
          <cell r="B223">
            <v>52.13</v>
          </cell>
          <cell r="C223">
            <v>49.170476190476187</v>
          </cell>
        </row>
        <row r="224">
          <cell r="A224">
            <v>42052</v>
          </cell>
          <cell r="B224">
            <v>53.56</v>
          </cell>
          <cell r="C224">
            <v>48.916190476190479</v>
          </cell>
        </row>
        <row r="225">
          <cell r="A225">
            <v>42051</v>
          </cell>
          <cell r="B225">
            <v>52.66</v>
          </cell>
          <cell r="C225">
            <v>48.674761904761901</v>
          </cell>
        </row>
        <row r="226">
          <cell r="A226">
            <v>42048</v>
          </cell>
          <cell r="B226">
            <v>52.66</v>
          </cell>
          <cell r="C226">
            <v>48.375238095238096</v>
          </cell>
        </row>
        <row r="227">
          <cell r="A227">
            <v>42047</v>
          </cell>
          <cell r="B227">
            <v>51.17</v>
          </cell>
          <cell r="C227">
            <v>48.176666666666669</v>
          </cell>
        </row>
        <row r="228">
          <cell r="A228">
            <v>42046</v>
          </cell>
          <cell r="B228">
            <v>48.8</v>
          </cell>
          <cell r="C228">
            <v>47.926666666666662</v>
          </cell>
        </row>
        <row r="229">
          <cell r="A229">
            <v>42045</v>
          </cell>
          <cell r="B229">
            <v>50.06</v>
          </cell>
          <cell r="C229">
            <v>47.796190476190468</v>
          </cell>
        </row>
        <row r="230">
          <cell r="A230">
            <v>42044</v>
          </cell>
          <cell r="B230">
            <v>52.99</v>
          </cell>
          <cell r="C230">
            <v>47.7147619047619</v>
          </cell>
        </row>
        <row r="231">
          <cell r="A231">
            <v>42041</v>
          </cell>
          <cell r="B231">
            <v>51.66</v>
          </cell>
          <cell r="C231">
            <v>47.515238095238089</v>
          </cell>
        </row>
        <row r="232">
          <cell r="A232">
            <v>42040</v>
          </cell>
          <cell r="B232">
            <v>50.48</v>
          </cell>
          <cell r="C232">
            <v>47.37380952380952</v>
          </cell>
        </row>
        <row r="233">
          <cell r="A233">
            <v>42039</v>
          </cell>
          <cell r="B233">
            <v>48.45</v>
          </cell>
          <cell r="C233">
            <v>47.254761904761899</v>
          </cell>
        </row>
        <row r="234">
          <cell r="A234">
            <v>42038</v>
          </cell>
          <cell r="B234">
            <v>53.04</v>
          </cell>
          <cell r="C234">
            <v>47.330952380952375</v>
          </cell>
        </row>
        <row r="235">
          <cell r="A235">
            <v>42037</v>
          </cell>
          <cell r="B235">
            <v>49.25</v>
          </cell>
          <cell r="C235">
            <v>47.315714285714279</v>
          </cell>
        </row>
        <row r="236">
          <cell r="A236">
            <v>42034</v>
          </cell>
          <cell r="B236">
            <v>47.79</v>
          </cell>
          <cell r="C236">
            <v>47.515714285714282</v>
          </cell>
        </row>
        <row r="237">
          <cell r="A237">
            <v>42033</v>
          </cell>
          <cell r="B237">
            <v>44.12</v>
          </cell>
          <cell r="C237">
            <v>47.818095238095239</v>
          </cell>
        </row>
        <row r="238">
          <cell r="A238">
            <v>42032</v>
          </cell>
          <cell r="B238">
            <v>44.08</v>
          </cell>
          <cell r="C238">
            <v>48.26285714285715</v>
          </cell>
        </row>
        <row r="239">
          <cell r="A239">
            <v>42031</v>
          </cell>
          <cell r="B239">
            <v>45.84</v>
          </cell>
          <cell r="C239">
            <v>48.763333333333343</v>
          </cell>
        </row>
        <row r="240">
          <cell r="A240">
            <v>42030</v>
          </cell>
          <cell r="B240">
            <v>44.8</v>
          </cell>
          <cell r="C240">
            <v>49.232857142857149</v>
          </cell>
        </row>
        <row r="241">
          <cell r="A241">
            <v>42027</v>
          </cell>
          <cell r="B241">
            <v>45.26</v>
          </cell>
          <cell r="C241">
            <v>49.803333333333342</v>
          </cell>
        </row>
        <row r="242">
          <cell r="A242">
            <v>42026</v>
          </cell>
          <cell r="B242">
            <v>45.93</v>
          </cell>
          <cell r="C242">
            <v>50.279047619047624</v>
          </cell>
        </row>
        <row r="243">
          <cell r="A243">
            <v>42025</v>
          </cell>
          <cell r="B243">
            <v>47.85</v>
          </cell>
          <cell r="C243">
            <v>50.801904761904765</v>
          </cell>
        </row>
        <row r="244">
          <cell r="A244">
            <v>42024</v>
          </cell>
          <cell r="B244">
            <v>46.79</v>
          </cell>
          <cell r="C244">
            <v>51.103333333333339</v>
          </cell>
        </row>
        <row r="245">
          <cell r="A245">
            <v>42020</v>
          </cell>
          <cell r="B245">
            <v>48.49</v>
          </cell>
          <cell r="C245">
            <v>51.562380952380963</v>
          </cell>
        </row>
        <row r="246">
          <cell r="A246">
            <v>42019</v>
          </cell>
          <cell r="B246">
            <v>46.37</v>
          </cell>
          <cell r="C246">
            <v>51.91857142857144</v>
          </cell>
        </row>
        <row r="247">
          <cell r="A247">
            <v>42018</v>
          </cell>
          <cell r="B247">
            <v>48.49</v>
          </cell>
          <cell r="C247">
            <v>52.375238095238103</v>
          </cell>
        </row>
        <row r="248">
          <cell r="A248">
            <v>42017</v>
          </cell>
          <cell r="B248">
            <v>45.92</v>
          </cell>
          <cell r="C248">
            <v>52.819047619047609</v>
          </cell>
        </row>
        <row r="249">
          <cell r="A249">
            <v>42016</v>
          </cell>
          <cell r="B249">
            <v>46.06</v>
          </cell>
          <cell r="C249">
            <v>53.489999999999995</v>
          </cell>
        </row>
        <row r="250">
          <cell r="A250">
            <v>42013</v>
          </cell>
          <cell r="B250">
            <v>48.35</v>
          </cell>
          <cell r="C250">
            <v>54.20095238095238</v>
          </cell>
        </row>
        <row r="251">
          <cell r="A251">
            <v>42012</v>
          </cell>
          <cell r="B251">
            <v>48.8</v>
          </cell>
          <cell r="C251">
            <v>54.933809523809522</v>
          </cell>
        </row>
        <row r="252">
          <cell r="A252">
            <v>42011</v>
          </cell>
          <cell r="B252">
            <v>48.69</v>
          </cell>
          <cell r="C252">
            <v>55.616190476190482</v>
          </cell>
        </row>
        <row r="253">
          <cell r="A253">
            <v>42010</v>
          </cell>
          <cell r="B253">
            <v>47.98</v>
          </cell>
          <cell r="C253">
            <v>56.435238095238098</v>
          </cell>
        </row>
        <row r="254">
          <cell r="A254">
            <v>42009</v>
          </cell>
          <cell r="B254">
            <v>50.05</v>
          </cell>
          <cell r="C254">
            <v>57.328095238095244</v>
          </cell>
        </row>
        <row r="255">
          <cell r="A255">
            <v>42006</v>
          </cell>
          <cell r="B255">
            <v>52.72</v>
          </cell>
          <cell r="C255">
            <v>58.149523809523807</v>
          </cell>
        </row>
        <row r="256">
          <cell r="A256">
            <v>42004</v>
          </cell>
          <cell r="B256">
            <v>53.45</v>
          </cell>
          <cell r="C256">
            <v>58.829047619047621</v>
          </cell>
        </row>
        <row r="257">
          <cell r="A257">
            <v>42003</v>
          </cell>
          <cell r="B257">
            <v>54.14</v>
          </cell>
          <cell r="C257">
            <v>59.568571428571431</v>
          </cell>
        </row>
        <row r="258">
          <cell r="A258">
            <v>42002</v>
          </cell>
          <cell r="B258">
            <v>53.46</v>
          </cell>
          <cell r="C258">
            <v>60.130476190476188</v>
          </cell>
        </row>
        <row r="259">
          <cell r="A259">
            <v>41999</v>
          </cell>
          <cell r="B259">
            <v>54.59</v>
          </cell>
          <cell r="C259">
            <v>61.094285714285718</v>
          </cell>
        </row>
        <row r="260">
          <cell r="A260">
            <v>41997</v>
          </cell>
          <cell r="B260">
            <v>55.7</v>
          </cell>
          <cell r="C260">
            <v>62.020476190476195</v>
          </cell>
        </row>
        <row r="261">
          <cell r="A261">
            <v>41996</v>
          </cell>
          <cell r="B261">
            <v>56.78</v>
          </cell>
          <cell r="C261">
            <v>62.974761904761905</v>
          </cell>
        </row>
        <row r="262">
          <cell r="A262">
            <v>41995</v>
          </cell>
          <cell r="B262">
            <v>55.25</v>
          </cell>
          <cell r="C262">
            <v>63.914761904761903</v>
          </cell>
        </row>
        <row r="263">
          <cell r="A263">
            <v>41992</v>
          </cell>
          <cell r="B263">
            <v>56.91</v>
          </cell>
          <cell r="C263">
            <v>64.885238095238108</v>
          </cell>
        </row>
        <row r="264">
          <cell r="A264">
            <v>41991</v>
          </cell>
          <cell r="B264">
            <v>54.18</v>
          </cell>
          <cell r="C264">
            <v>65.725238095238083</v>
          </cell>
        </row>
        <row r="265">
          <cell r="A265">
            <v>41990</v>
          </cell>
          <cell r="B265">
            <v>56.43</v>
          </cell>
          <cell r="C265">
            <v>66.695238095238096</v>
          </cell>
        </row>
        <row r="266">
          <cell r="A266">
            <v>41989</v>
          </cell>
          <cell r="B266">
            <v>55.97</v>
          </cell>
          <cell r="C266">
            <v>67.610000000000014</v>
          </cell>
        </row>
        <row r="267">
          <cell r="A267">
            <v>41988</v>
          </cell>
          <cell r="B267">
            <v>55.96</v>
          </cell>
          <cell r="C267">
            <v>68.55952380952381</v>
          </cell>
        </row>
        <row r="268">
          <cell r="A268">
            <v>41985</v>
          </cell>
          <cell r="B268">
            <v>57.81</v>
          </cell>
          <cell r="C268">
            <v>69.424761904761908</v>
          </cell>
        </row>
        <row r="269">
          <cell r="A269">
            <v>41984</v>
          </cell>
          <cell r="B269">
            <v>60.01</v>
          </cell>
          <cell r="C269">
            <v>70.346190476190486</v>
          </cell>
        </row>
        <row r="270">
          <cell r="A270">
            <v>41983</v>
          </cell>
          <cell r="B270">
            <v>60.99</v>
          </cell>
          <cell r="C270">
            <v>71.195714285714303</v>
          </cell>
        </row>
        <row r="271">
          <cell r="A271">
            <v>41982</v>
          </cell>
          <cell r="B271">
            <v>63.74</v>
          </cell>
          <cell r="C271">
            <v>71.978571428571442</v>
          </cell>
        </row>
        <row r="272">
          <cell r="A272">
            <v>41981</v>
          </cell>
          <cell r="B272">
            <v>63.13</v>
          </cell>
          <cell r="C272">
            <v>72.691428571428574</v>
          </cell>
        </row>
        <row r="273">
          <cell r="A273">
            <v>41978</v>
          </cell>
          <cell r="B273">
            <v>65.89</v>
          </cell>
          <cell r="C273">
            <v>73.393333333333317</v>
          </cell>
        </row>
        <row r="274">
          <cell r="A274">
            <v>41977</v>
          </cell>
          <cell r="B274">
            <v>66.73</v>
          </cell>
          <cell r="C274">
            <v>74.003809523809522</v>
          </cell>
        </row>
        <row r="275">
          <cell r="A275">
            <v>41976</v>
          </cell>
          <cell r="B275">
            <v>67.3</v>
          </cell>
          <cell r="C275">
            <v>74.5</v>
          </cell>
        </row>
        <row r="276">
          <cell r="A276">
            <v>41975</v>
          </cell>
          <cell r="B276">
            <v>66.989999999999995</v>
          </cell>
          <cell r="C276">
            <v>75.046190476190461</v>
          </cell>
        </row>
        <row r="277">
          <cell r="A277">
            <v>41974</v>
          </cell>
          <cell r="B277">
            <v>68.98</v>
          </cell>
          <cell r="C277">
            <v>75.690952380952382</v>
          </cell>
        </row>
        <row r="278">
          <cell r="A278">
            <v>41971</v>
          </cell>
          <cell r="B278">
            <v>65.94</v>
          </cell>
          <cell r="C278">
            <v>76.266190476190474</v>
          </cell>
        </row>
        <row r="279">
          <cell r="A279">
            <v>41969</v>
          </cell>
          <cell r="B279">
            <v>73.7</v>
          </cell>
          <cell r="C279">
            <v>77.04285714285713</v>
          </cell>
        </row>
        <row r="280">
          <cell r="A280">
            <v>41968</v>
          </cell>
          <cell r="B280">
            <v>74.040000000000006</v>
          </cell>
          <cell r="C280">
            <v>77.40761904761905</v>
          </cell>
        </row>
        <row r="281">
          <cell r="A281">
            <v>41967</v>
          </cell>
          <cell r="B281">
            <v>75.739999999999995</v>
          </cell>
          <cell r="C281">
            <v>77.751428571428562</v>
          </cell>
        </row>
        <row r="282">
          <cell r="A282">
            <v>41964</v>
          </cell>
          <cell r="B282">
            <v>76.52</v>
          </cell>
          <cell r="C282">
            <v>78.014761904761897</v>
          </cell>
        </row>
        <row r="283">
          <cell r="A283">
            <v>41963</v>
          </cell>
          <cell r="B283">
            <v>75.63</v>
          </cell>
          <cell r="C283">
            <v>78.314285714285703</v>
          </cell>
        </row>
        <row r="284">
          <cell r="A284">
            <v>41962</v>
          </cell>
          <cell r="B284">
            <v>74.55</v>
          </cell>
          <cell r="C284">
            <v>78.547142857142845</v>
          </cell>
        </row>
        <row r="285">
          <cell r="A285">
            <v>41961</v>
          </cell>
          <cell r="B285">
            <v>74.55</v>
          </cell>
          <cell r="C285">
            <v>78.96142857142857</v>
          </cell>
        </row>
        <row r="286">
          <cell r="A286">
            <v>41960</v>
          </cell>
          <cell r="B286">
            <v>75.64</v>
          </cell>
          <cell r="C286">
            <v>79.35238095238094</v>
          </cell>
        </row>
        <row r="287">
          <cell r="A287">
            <v>41957</v>
          </cell>
          <cell r="B287">
            <v>75.91</v>
          </cell>
          <cell r="C287">
            <v>79.693333333333314</v>
          </cell>
        </row>
        <row r="288">
          <cell r="A288">
            <v>41956</v>
          </cell>
          <cell r="B288">
            <v>74.13</v>
          </cell>
          <cell r="C288">
            <v>79.999047619047616</v>
          </cell>
        </row>
        <row r="289">
          <cell r="A289">
            <v>41955</v>
          </cell>
          <cell r="B289">
            <v>77.16</v>
          </cell>
          <cell r="C289">
            <v>80.365238095238084</v>
          </cell>
        </row>
        <row r="290">
          <cell r="A290">
            <v>41954</v>
          </cell>
          <cell r="B290">
            <v>77.849999999999994</v>
          </cell>
          <cell r="C290">
            <v>80.582380952380944</v>
          </cell>
        </row>
        <row r="291">
          <cell r="A291">
            <v>41953</v>
          </cell>
          <cell r="B291">
            <v>77.430000000000007</v>
          </cell>
          <cell r="C291">
            <v>80.957619047619048</v>
          </cell>
        </row>
        <row r="292">
          <cell r="A292">
            <v>41950</v>
          </cell>
          <cell r="B292">
            <v>78.709999999999994</v>
          </cell>
          <cell r="C292">
            <v>81.359523809523793</v>
          </cell>
        </row>
        <row r="293">
          <cell r="A293">
            <v>41949</v>
          </cell>
          <cell r="B293">
            <v>77.87</v>
          </cell>
          <cell r="C293">
            <v>81.695238095238082</v>
          </cell>
        </row>
        <row r="294">
          <cell r="A294">
            <v>41948</v>
          </cell>
          <cell r="B294">
            <v>78.709999999999994</v>
          </cell>
          <cell r="C294">
            <v>82.143809523809509</v>
          </cell>
        </row>
        <row r="295">
          <cell r="A295">
            <v>41947</v>
          </cell>
          <cell r="B295">
            <v>77.150000000000006</v>
          </cell>
          <cell r="C295">
            <v>82.628571428571419</v>
          </cell>
        </row>
        <row r="296">
          <cell r="A296">
            <v>41946</v>
          </cell>
          <cell r="B296">
            <v>78.77</v>
          </cell>
          <cell r="C296">
            <v>83.256190476190454</v>
          </cell>
        </row>
        <row r="297">
          <cell r="A297">
            <v>41943</v>
          </cell>
          <cell r="B297">
            <v>80.53</v>
          </cell>
          <cell r="C297">
            <v>83.779523809523809</v>
          </cell>
        </row>
        <row r="298">
          <cell r="A298">
            <v>41942</v>
          </cell>
          <cell r="B298">
            <v>81.06</v>
          </cell>
          <cell r="C298">
            <v>84.279047619047617</v>
          </cell>
        </row>
        <row r="299">
          <cell r="A299">
            <v>41941</v>
          </cell>
          <cell r="B299">
            <v>82.25</v>
          </cell>
          <cell r="C299">
            <v>84.74</v>
          </cell>
        </row>
        <row r="300">
          <cell r="A300">
            <v>41940</v>
          </cell>
          <cell r="B300">
            <v>81.36</v>
          </cell>
          <cell r="C300">
            <v>85.164761904761903</v>
          </cell>
        </row>
        <row r="301">
          <cell r="A301">
            <v>41939</v>
          </cell>
          <cell r="B301">
            <v>81.260000000000005</v>
          </cell>
          <cell r="C301">
            <v>85.79190476190476</v>
          </cell>
        </row>
        <row r="302">
          <cell r="A302">
            <v>41936</v>
          </cell>
          <cell r="B302">
            <v>81.27</v>
          </cell>
          <cell r="C302">
            <v>86.472380952380959</v>
          </cell>
        </row>
        <row r="303">
          <cell r="A303">
            <v>41935</v>
          </cell>
          <cell r="B303">
            <v>82.81</v>
          </cell>
          <cell r="C303">
            <v>87.059047619047604</v>
          </cell>
        </row>
        <row r="304">
          <cell r="A304">
            <v>41934</v>
          </cell>
          <cell r="B304">
            <v>80.52</v>
          </cell>
          <cell r="C304">
            <v>87.572857142857131</v>
          </cell>
        </row>
        <row r="305">
          <cell r="A305">
            <v>41933</v>
          </cell>
          <cell r="B305">
            <v>83.25</v>
          </cell>
          <cell r="C305">
            <v>88.098095238095226</v>
          </cell>
        </row>
        <row r="306">
          <cell r="A306">
            <v>41932</v>
          </cell>
          <cell r="B306">
            <v>82.76</v>
          </cell>
          <cell r="C306">
            <v>88.489047619047611</v>
          </cell>
        </row>
        <row r="307">
          <cell r="A307">
            <v>41929</v>
          </cell>
          <cell r="B307">
            <v>82.8</v>
          </cell>
          <cell r="C307">
            <v>88.949523809523797</v>
          </cell>
        </row>
        <row r="308">
          <cell r="A308">
            <v>41928</v>
          </cell>
          <cell r="B308">
            <v>82.33</v>
          </cell>
          <cell r="C308">
            <v>89.438571428571422</v>
          </cell>
        </row>
        <row r="309">
          <cell r="A309">
            <v>41927</v>
          </cell>
          <cell r="B309">
            <v>81.819999999999993</v>
          </cell>
          <cell r="C309">
            <v>90.009999999999991</v>
          </cell>
        </row>
        <row r="310">
          <cell r="A310">
            <v>41926</v>
          </cell>
          <cell r="B310">
            <v>81.72</v>
          </cell>
          <cell r="C310">
            <v>90.633333333333326</v>
          </cell>
        </row>
        <row r="311">
          <cell r="A311">
            <v>41925</v>
          </cell>
          <cell r="B311">
            <v>85.73</v>
          </cell>
          <cell r="C311">
            <v>91.163809523809505</v>
          </cell>
        </row>
        <row r="312">
          <cell r="A312">
            <v>41922</v>
          </cell>
          <cell r="B312">
            <v>85.87</v>
          </cell>
          <cell r="C312">
            <v>91.470952380952369</v>
          </cell>
        </row>
        <row r="313">
          <cell r="A313">
            <v>41921</v>
          </cell>
          <cell r="B313">
            <v>85.76</v>
          </cell>
          <cell r="C313">
            <v>91.805238095238082</v>
          </cell>
        </row>
        <row r="314">
          <cell r="A314">
            <v>41920</v>
          </cell>
          <cell r="B314">
            <v>87.29</v>
          </cell>
          <cell r="C314">
            <v>92.088571428571441</v>
          </cell>
        </row>
        <row r="315">
          <cell r="A315">
            <v>41919</v>
          </cell>
          <cell r="B315">
            <v>88.89</v>
          </cell>
          <cell r="C315">
            <v>92.347619047619048</v>
          </cell>
        </row>
        <row r="316">
          <cell r="A316">
            <v>41918</v>
          </cell>
          <cell r="B316">
            <v>90.33</v>
          </cell>
          <cell r="C316">
            <v>92.526190476190479</v>
          </cell>
        </row>
        <row r="317">
          <cell r="A317">
            <v>41915</v>
          </cell>
          <cell r="B317">
            <v>89.76</v>
          </cell>
          <cell r="C317">
            <v>92.66857142857144</v>
          </cell>
        </row>
        <row r="318">
          <cell r="A318">
            <v>41914</v>
          </cell>
          <cell r="B318">
            <v>91.02</v>
          </cell>
          <cell r="C318">
            <v>92.894761904761907</v>
          </cell>
        </row>
        <row r="319">
          <cell r="A319">
            <v>41913</v>
          </cell>
          <cell r="B319">
            <v>90.74</v>
          </cell>
          <cell r="C319">
            <v>93.108095238095245</v>
          </cell>
        </row>
        <row r="320">
          <cell r="A320">
            <v>41912</v>
          </cell>
          <cell r="B320">
            <v>91.17</v>
          </cell>
          <cell r="C320">
            <v>93.211904761904776</v>
          </cell>
        </row>
        <row r="321">
          <cell r="A321">
            <v>41911</v>
          </cell>
          <cell r="B321">
            <v>94.53</v>
          </cell>
          <cell r="C321">
            <v>93.530476190476193</v>
          </cell>
        </row>
        <row r="322">
          <cell r="A322">
            <v>41908</v>
          </cell>
          <cell r="B322">
            <v>95.55</v>
          </cell>
          <cell r="C322">
            <v>93.621428571428581</v>
          </cell>
        </row>
        <row r="323">
          <cell r="A323">
            <v>41907</v>
          </cell>
          <cell r="B323">
            <v>93.59</v>
          </cell>
          <cell r="C323">
            <v>93.63428571428571</v>
          </cell>
        </row>
        <row r="324">
          <cell r="A324">
            <v>41906</v>
          </cell>
          <cell r="B324">
            <v>93.6</v>
          </cell>
          <cell r="C324">
            <v>93.738571428571419</v>
          </cell>
        </row>
        <row r="325">
          <cell r="A325">
            <v>41905</v>
          </cell>
          <cell r="B325">
            <v>91.55</v>
          </cell>
          <cell r="C325">
            <v>93.823809523809516</v>
          </cell>
        </row>
        <row r="326">
          <cell r="A326">
            <v>41904</v>
          </cell>
          <cell r="B326">
            <v>91.46</v>
          </cell>
          <cell r="C326">
            <v>93.921904761904756</v>
          </cell>
        </row>
        <row r="327">
          <cell r="A327">
            <v>41901</v>
          </cell>
          <cell r="B327">
            <v>92.43</v>
          </cell>
          <cell r="C327">
            <v>94.041428571428568</v>
          </cell>
        </row>
        <row r="328">
          <cell r="A328">
            <v>41900</v>
          </cell>
          <cell r="B328">
            <v>93.07</v>
          </cell>
          <cell r="C328">
            <v>94.230476190476196</v>
          </cell>
        </row>
        <row r="329">
          <cell r="A329">
            <v>41899</v>
          </cell>
          <cell r="B329">
            <v>94.33</v>
          </cell>
          <cell r="C329">
            <v>94.291428571428568</v>
          </cell>
        </row>
        <row r="330">
          <cell r="A330">
            <v>41898</v>
          </cell>
          <cell r="B330">
            <v>94.91</v>
          </cell>
          <cell r="C330">
            <v>94.391904761904769</v>
          </cell>
        </row>
        <row r="331">
          <cell r="A331">
            <v>41897</v>
          </cell>
          <cell r="B331">
            <v>92.86</v>
          </cell>
          <cell r="C331">
            <v>94.505714285714276</v>
          </cell>
        </row>
        <row r="332">
          <cell r="A332">
            <v>41894</v>
          </cell>
          <cell r="B332">
            <v>92.18</v>
          </cell>
          <cell r="C332">
            <v>94.633333333333326</v>
          </cell>
        </row>
        <row r="333">
          <cell r="A333">
            <v>41893</v>
          </cell>
          <cell r="B333">
            <v>92.89</v>
          </cell>
          <cell r="C333">
            <v>94.889999999999986</v>
          </cell>
        </row>
        <row r="334">
          <cell r="A334">
            <v>41892</v>
          </cell>
          <cell r="B334">
            <v>91.71</v>
          </cell>
          <cell r="C334">
            <v>95.102857142857118</v>
          </cell>
        </row>
        <row r="335">
          <cell r="A335">
            <v>41891</v>
          </cell>
          <cell r="B335">
            <v>92.73</v>
          </cell>
          <cell r="C335">
            <v>95.406666666666652</v>
          </cell>
        </row>
        <row r="336">
          <cell r="A336">
            <v>41890</v>
          </cell>
          <cell r="B336">
            <v>92.64</v>
          </cell>
          <cell r="C336">
            <v>95.639047619047602</v>
          </cell>
        </row>
        <row r="337">
          <cell r="A337">
            <v>41887</v>
          </cell>
          <cell r="B337">
            <v>93.32</v>
          </cell>
          <cell r="C337">
            <v>95.862857142857109</v>
          </cell>
        </row>
        <row r="338">
          <cell r="A338">
            <v>41886</v>
          </cell>
          <cell r="B338">
            <v>94.51</v>
          </cell>
          <cell r="C338">
            <v>96.034761904761879</v>
          </cell>
        </row>
        <row r="339">
          <cell r="A339">
            <v>41885</v>
          </cell>
          <cell r="B339">
            <v>95.5</v>
          </cell>
          <cell r="C339">
            <v>96.169523809523781</v>
          </cell>
        </row>
        <row r="340">
          <cell r="A340">
            <v>41884</v>
          </cell>
          <cell r="B340">
            <v>92.92</v>
          </cell>
          <cell r="C340">
            <v>96.300952380952353</v>
          </cell>
        </row>
        <row r="341">
          <cell r="A341">
            <v>41880</v>
          </cell>
          <cell r="B341">
            <v>97.86</v>
          </cell>
          <cell r="C341">
            <v>96.536190476190441</v>
          </cell>
        </row>
        <row r="342">
          <cell r="A342">
            <v>41879</v>
          </cell>
          <cell r="B342">
            <v>96.44</v>
          </cell>
          <cell r="C342">
            <v>96.553809523809491</v>
          </cell>
        </row>
        <row r="343">
          <cell r="A343">
            <v>41878</v>
          </cell>
          <cell r="B343">
            <v>95.82</v>
          </cell>
          <cell r="C343">
            <v>96.927619047619018</v>
          </cell>
        </row>
        <row r="344">
          <cell r="A344">
            <v>41877</v>
          </cell>
          <cell r="B344">
            <v>95.78</v>
          </cell>
          <cell r="C344">
            <v>97.360476190476163</v>
          </cell>
        </row>
        <row r="345">
          <cell r="A345">
            <v>41876</v>
          </cell>
          <cell r="B345">
            <v>95.39</v>
          </cell>
          <cell r="C345">
            <v>97.831904761904752</v>
          </cell>
        </row>
        <row r="346">
          <cell r="A346">
            <v>41873</v>
          </cell>
          <cell r="B346">
            <v>93.61</v>
          </cell>
          <cell r="C346">
            <v>98.300476190476189</v>
          </cell>
        </row>
        <row r="347">
          <cell r="A347">
            <v>41872</v>
          </cell>
          <cell r="B347">
            <v>93.97</v>
          </cell>
          <cell r="C347">
            <v>98.736190476190473</v>
          </cell>
        </row>
        <row r="348">
          <cell r="A348">
            <v>41871</v>
          </cell>
          <cell r="B348">
            <v>96.4</v>
          </cell>
          <cell r="C348">
            <v>99.204761904761909</v>
          </cell>
        </row>
        <row r="349">
          <cell r="A349">
            <v>41870</v>
          </cell>
          <cell r="B349">
            <v>94.35</v>
          </cell>
          <cell r="C349">
            <v>99.594761904761896</v>
          </cell>
        </row>
        <row r="350">
          <cell r="A350">
            <v>41869</v>
          </cell>
          <cell r="B350">
            <v>96.44</v>
          </cell>
          <cell r="C350">
            <v>100.11809523809524</v>
          </cell>
        </row>
        <row r="351">
          <cell r="A351">
            <v>41866</v>
          </cell>
          <cell r="B351">
            <v>97.3</v>
          </cell>
          <cell r="C351">
            <v>100.47</v>
          </cell>
        </row>
        <row r="352">
          <cell r="A352">
            <v>41865</v>
          </cell>
          <cell r="B352">
            <v>95.54</v>
          </cell>
          <cell r="C352">
            <v>100.78142857142856</v>
          </cell>
        </row>
        <row r="353">
          <cell r="A353">
            <v>41864</v>
          </cell>
          <cell r="B353">
            <v>97.57</v>
          </cell>
          <cell r="C353">
            <v>101.08333333333333</v>
          </cell>
        </row>
        <row r="354">
          <cell r="A354">
            <v>41863</v>
          </cell>
          <cell r="B354">
            <v>97.36</v>
          </cell>
          <cell r="C354">
            <v>101.22571428571428</v>
          </cell>
        </row>
        <row r="355">
          <cell r="A355">
            <v>41862</v>
          </cell>
          <cell r="B355">
            <v>98.09</v>
          </cell>
          <cell r="C355">
            <v>101.43380952380951</v>
          </cell>
        </row>
        <row r="356">
          <cell r="A356">
            <v>41859</v>
          </cell>
          <cell r="B356">
            <v>97.61</v>
          </cell>
          <cell r="C356">
            <v>101.59523809523807</v>
          </cell>
        </row>
        <row r="357">
          <cell r="A357">
            <v>41858</v>
          </cell>
          <cell r="B357">
            <v>97.34</v>
          </cell>
          <cell r="C357">
            <v>101.88095238095237</v>
          </cell>
        </row>
        <row r="358">
          <cell r="A358">
            <v>41857</v>
          </cell>
          <cell r="B358">
            <v>96.93</v>
          </cell>
          <cell r="C358">
            <v>102.14714285714284</v>
          </cell>
        </row>
        <row r="359">
          <cell r="A359">
            <v>41856</v>
          </cell>
          <cell r="B359">
            <v>97.34</v>
          </cell>
          <cell r="C359">
            <v>102.48666666666665</v>
          </cell>
        </row>
        <row r="360">
          <cell r="A360">
            <v>41855</v>
          </cell>
          <cell r="B360">
            <v>98.26</v>
          </cell>
          <cell r="C360">
            <v>102.81285714285713</v>
          </cell>
        </row>
        <row r="361">
          <cell r="A361">
            <v>41852</v>
          </cell>
          <cell r="B361">
            <v>97.86</v>
          </cell>
          <cell r="C361">
            <v>103.12238095238096</v>
          </cell>
        </row>
        <row r="362">
          <cell r="A362">
            <v>41851</v>
          </cell>
          <cell r="B362">
            <v>98.23</v>
          </cell>
          <cell r="C362">
            <v>103.47095238095237</v>
          </cell>
        </row>
        <row r="363">
          <cell r="A363">
            <v>41850</v>
          </cell>
          <cell r="B363">
            <v>104.29</v>
          </cell>
          <cell r="C363">
            <v>103.84380952380954</v>
          </cell>
        </row>
        <row r="364">
          <cell r="A364">
            <v>41849</v>
          </cell>
          <cell r="B364">
            <v>104.91</v>
          </cell>
          <cell r="C364">
            <v>103.92857142857144</v>
          </cell>
        </row>
        <row r="365">
          <cell r="A365">
            <v>41848</v>
          </cell>
          <cell r="B365">
            <v>105.68</v>
          </cell>
          <cell r="C365">
            <v>104.00238095238096</v>
          </cell>
        </row>
        <row r="366">
          <cell r="A366">
            <v>41845</v>
          </cell>
          <cell r="B366">
            <v>105.23</v>
          </cell>
          <cell r="C366">
            <v>104.04095238095236</v>
          </cell>
        </row>
        <row r="367">
          <cell r="A367">
            <v>41844</v>
          </cell>
          <cell r="B367">
            <v>102.76</v>
          </cell>
          <cell r="C367">
            <v>104.12714285714286</v>
          </cell>
        </row>
        <row r="368">
          <cell r="A368">
            <v>41843</v>
          </cell>
          <cell r="B368">
            <v>103.81</v>
          </cell>
          <cell r="C368">
            <v>104.31190476190474</v>
          </cell>
        </row>
        <row r="369">
          <cell r="A369">
            <v>41842</v>
          </cell>
          <cell r="B369">
            <v>104.59</v>
          </cell>
          <cell r="C369">
            <v>104.45571428571427</v>
          </cell>
        </row>
        <row r="370">
          <cell r="A370">
            <v>41841</v>
          </cell>
          <cell r="B370">
            <v>105.34</v>
          </cell>
          <cell r="C370">
            <v>104.61571428571428</v>
          </cell>
        </row>
        <row r="371">
          <cell r="A371">
            <v>41838</v>
          </cell>
          <cell r="B371">
            <v>103.83</v>
          </cell>
          <cell r="C371">
            <v>104.69857142857143</v>
          </cell>
        </row>
        <row r="372">
          <cell r="A372">
            <v>41837</v>
          </cell>
          <cell r="B372">
            <v>103.84</v>
          </cell>
          <cell r="C372">
            <v>104.83238095238096</v>
          </cell>
        </row>
        <row r="373">
          <cell r="A373">
            <v>41836</v>
          </cell>
          <cell r="B373">
            <v>101.88</v>
          </cell>
          <cell r="C373">
            <v>104.98047619047618</v>
          </cell>
        </row>
        <row r="374">
          <cell r="A374">
            <v>41835</v>
          </cell>
          <cell r="B374">
            <v>100.56</v>
          </cell>
          <cell r="C374">
            <v>105.24904761904762</v>
          </cell>
        </row>
        <row r="375">
          <cell r="A375">
            <v>41834</v>
          </cell>
          <cell r="B375">
            <v>101.73</v>
          </cell>
          <cell r="C375">
            <v>105.57904761904761</v>
          </cell>
        </row>
        <row r="376">
          <cell r="A376">
            <v>41831</v>
          </cell>
          <cell r="B376">
            <v>101.48</v>
          </cell>
          <cell r="C376">
            <v>105.8395238095238</v>
          </cell>
        </row>
        <row r="377">
          <cell r="A377">
            <v>41830</v>
          </cell>
          <cell r="B377">
            <v>103.61</v>
          </cell>
          <cell r="C377">
            <v>106.00904761904762</v>
          </cell>
        </row>
        <row r="378">
          <cell r="A378">
            <v>41829</v>
          </cell>
          <cell r="B378">
            <v>102.93</v>
          </cell>
          <cell r="C378">
            <v>106.07619047619049</v>
          </cell>
        </row>
        <row r="379">
          <cell r="A379">
            <v>41828</v>
          </cell>
          <cell r="B379">
            <v>104.06</v>
          </cell>
          <cell r="C379">
            <v>106.17904761904762</v>
          </cell>
        </row>
        <row r="380">
          <cell r="A380">
            <v>41827</v>
          </cell>
          <cell r="B380">
            <v>104.19</v>
          </cell>
          <cell r="C380">
            <v>106.14380952380955</v>
          </cell>
        </row>
        <row r="381">
          <cell r="A381">
            <v>41823</v>
          </cell>
          <cell r="B381">
            <v>104.76</v>
          </cell>
          <cell r="C381">
            <v>106.0952380952381</v>
          </cell>
        </row>
        <row r="382">
          <cell r="A382">
            <v>41822</v>
          </cell>
          <cell r="B382">
            <v>105.18</v>
          </cell>
          <cell r="C382">
            <v>106.0242857142857</v>
          </cell>
        </row>
        <row r="383">
          <cell r="A383">
            <v>41821</v>
          </cell>
          <cell r="B383">
            <v>106.06</v>
          </cell>
          <cell r="C383">
            <v>105.9366666666667</v>
          </cell>
        </row>
        <row r="384">
          <cell r="A384">
            <v>41820</v>
          </cell>
          <cell r="B384">
            <v>106.07</v>
          </cell>
          <cell r="C384">
            <v>105.79428571428573</v>
          </cell>
        </row>
        <row r="385">
          <cell r="A385">
            <v>41817</v>
          </cell>
          <cell r="B385">
            <v>106.46</v>
          </cell>
          <cell r="C385">
            <v>105.66714285714286</v>
          </cell>
        </row>
        <row r="386">
          <cell r="A386">
            <v>41816</v>
          </cell>
          <cell r="B386">
            <v>106.49</v>
          </cell>
          <cell r="C386">
            <v>105.56238095238095</v>
          </cell>
        </row>
        <row r="387">
          <cell r="A387">
            <v>41815</v>
          </cell>
          <cell r="B387">
            <v>107.04</v>
          </cell>
          <cell r="C387">
            <v>105.4138095238095</v>
          </cell>
        </row>
        <row r="388">
          <cell r="A388">
            <v>41814</v>
          </cell>
          <cell r="B388">
            <v>106.64</v>
          </cell>
          <cell r="C388">
            <v>105.30619047619049</v>
          </cell>
        </row>
        <row r="389">
          <cell r="A389">
            <v>41813</v>
          </cell>
          <cell r="B389">
            <v>106.83</v>
          </cell>
          <cell r="C389">
            <v>105.22857142857144</v>
          </cell>
        </row>
        <row r="390">
          <cell r="A390">
            <v>41810</v>
          </cell>
          <cell r="B390">
            <v>107.95</v>
          </cell>
          <cell r="C390">
            <v>105.0952380952381</v>
          </cell>
        </row>
        <row r="391">
          <cell r="A391">
            <v>41809</v>
          </cell>
          <cell r="B391">
            <v>107.08</v>
          </cell>
          <cell r="C391">
            <v>104.92190476190477</v>
          </cell>
        </row>
        <row r="392">
          <cell r="A392">
            <v>41808</v>
          </cell>
          <cell r="B392">
            <v>106.64</v>
          </cell>
          <cell r="C392">
            <v>104.71809523809526</v>
          </cell>
        </row>
        <row r="393">
          <cell r="A393">
            <v>41807</v>
          </cell>
          <cell r="B393">
            <v>106.95</v>
          </cell>
          <cell r="C393">
            <v>104.54238095238092</v>
          </cell>
        </row>
        <row r="394">
          <cell r="A394">
            <v>41806</v>
          </cell>
          <cell r="B394">
            <v>107.52</v>
          </cell>
          <cell r="C394">
            <v>104.32142857142856</v>
          </cell>
        </row>
        <row r="395">
          <cell r="A395">
            <v>41803</v>
          </cell>
          <cell r="B395">
            <v>107.49</v>
          </cell>
          <cell r="C395">
            <v>104.04619047619046</v>
          </cell>
        </row>
        <row r="396">
          <cell r="A396">
            <v>41802</v>
          </cell>
          <cell r="B396">
            <v>107.2</v>
          </cell>
          <cell r="C396">
            <v>103.81476190476191</v>
          </cell>
        </row>
        <row r="397">
          <cell r="A397">
            <v>41801</v>
          </cell>
          <cell r="B397">
            <v>105.04</v>
          </cell>
          <cell r="C397">
            <v>103.56761904761905</v>
          </cell>
        </row>
        <row r="398">
          <cell r="A398">
            <v>41800</v>
          </cell>
          <cell r="B398">
            <v>105.02</v>
          </cell>
          <cell r="C398">
            <v>103.37</v>
          </cell>
        </row>
        <row r="399">
          <cell r="A399">
            <v>41799</v>
          </cell>
          <cell r="B399">
            <v>105.09</v>
          </cell>
          <cell r="C399">
            <v>103.14619047619048</v>
          </cell>
        </row>
        <row r="400">
          <cell r="A400">
            <v>41796</v>
          </cell>
          <cell r="B400">
            <v>103.32</v>
          </cell>
          <cell r="C400">
            <v>102.92857142857143</v>
          </cell>
        </row>
        <row r="401">
          <cell r="A401">
            <v>41795</v>
          </cell>
          <cell r="B401">
            <v>103.17</v>
          </cell>
          <cell r="C401">
            <v>102.82095238095239</v>
          </cell>
        </row>
        <row r="402">
          <cell r="A402">
            <v>41794</v>
          </cell>
          <cell r="B402">
            <v>103.27</v>
          </cell>
          <cell r="C402">
            <v>102.66095238095238</v>
          </cell>
        </row>
        <row r="403">
          <cell r="A403">
            <v>41793</v>
          </cell>
          <cell r="B403">
            <v>103.34</v>
          </cell>
          <cell r="C403">
            <v>102.49285714285713</v>
          </cell>
        </row>
        <row r="404">
          <cell r="A404">
            <v>41792</v>
          </cell>
          <cell r="B404">
            <v>103.07</v>
          </cell>
          <cell r="C404">
            <v>102.33809523809524</v>
          </cell>
        </row>
        <row r="405">
          <cell r="A405">
            <v>41789</v>
          </cell>
          <cell r="B405">
            <v>103.4</v>
          </cell>
          <cell r="C405">
            <v>102.17714285714285</v>
          </cell>
        </row>
        <row r="406">
          <cell r="A406">
            <v>41788</v>
          </cell>
          <cell r="B406">
            <v>104.26</v>
          </cell>
          <cell r="C406">
            <v>102.01857142857142</v>
          </cell>
        </row>
        <row r="407">
          <cell r="A407">
            <v>41787</v>
          </cell>
          <cell r="B407">
            <v>103.37</v>
          </cell>
          <cell r="C407">
            <v>101.88999999999999</v>
          </cell>
        </row>
        <row r="408">
          <cell r="A408">
            <v>41786</v>
          </cell>
          <cell r="B408">
            <v>104.78</v>
          </cell>
          <cell r="C408">
            <v>101.78333333333333</v>
          </cell>
        </row>
        <row r="409">
          <cell r="A409">
            <v>41782</v>
          </cell>
          <cell r="B409">
            <v>105.01</v>
          </cell>
          <cell r="C409">
            <v>101.59619047619046</v>
          </cell>
        </row>
        <row r="410">
          <cell r="A410">
            <v>41781</v>
          </cell>
          <cell r="B410">
            <v>104.03</v>
          </cell>
          <cell r="C410">
            <v>101.46238095238093</v>
          </cell>
        </row>
        <row r="411">
          <cell r="A411">
            <v>41780</v>
          </cell>
          <cell r="B411">
            <v>104.31</v>
          </cell>
          <cell r="C411">
            <v>101.34047619047617</v>
          </cell>
        </row>
        <row r="412">
          <cell r="A412">
            <v>41779</v>
          </cell>
          <cell r="B412">
            <v>102.8</v>
          </cell>
          <cell r="C412">
            <v>101.21571428571427</v>
          </cell>
        </row>
        <row r="413">
          <cell r="A413">
            <v>41778</v>
          </cell>
          <cell r="B413">
            <v>102.95</v>
          </cell>
          <cell r="C413">
            <v>101.28952380952379</v>
          </cell>
        </row>
        <row r="414">
          <cell r="A414">
            <v>41775</v>
          </cell>
          <cell r="B414">
            <v>102.31</v>
          </cell>
          <cell r="C414">
            <v>101.35523809523808</v>
          </cell>
        </row>
        <row r="415">
          <cell r="A415">
            <v>41774</v>
          </cell>
          <cell r="B415">
            <v>101.74</v>
          </cell>
          <cell r="C415">
            <v>101.42190476190474</v>
          </cell>
        </row>
        <row r="416">
          <cell r="A416">
            <v>41773</v>
          </cell>
          <cell r="B416">
            <v>102.63</v>
          </cell>
          <cell r="C416">
            <v>101.51523809523808</v>
          </cell>
        </row>
        <row r="417">
          <cell r="A417">
            <v>41772</v>
          </cell>
          <cell r="B417">
            <v>102.01</v>
          </cell>
          <cell r="C417">
            <v>101.58285714285714</v>
          </cell>
        </row>
        <row r="418">
          <cell r="A418">
            <v>41771</v>
          </cell>
          <cell r="B418">
            <v>100.89</v>
          </cell>
          <cell r="C418">
            <v>101.66238095238093</v>
          </cell>
        </row>
        <row r="419">
          <cell r="A419">
            <v>41768</v>
          </cell>
          <cell r="B419">
            <v>100.32</v>
          </cell>
          <cell r="C419">
            <v>101.78047619047618</v>
          </cell>
        </row>
        <row r="420">
          <cell r="A420">
            <v>41767</v>
          </cell>
          <cell r="B420">
            <v>100.52</v>
          </cell>
          <cell r="C420">
            <v>101.93428571428574</v>
          </cell>
        </row>
        <row r="421">
          <cell r="A421">
            <v>41766</v>
          </cell>
          <cell r="B421">
            <v>101.06</v>
          </cell>
          <cell r="C421">
            <v>102.03190476190477</v>
          </cell>
        </row>
        <row r="422">
          <cell r="A422">
            <v>41765</v>
          </cell>
          <cell r="B422">
            <v>99.81</v>
          </cell>
          <cell r="C422">
            <v>102.00190476190475</v>
          </cell>
        </row>
        <row r="423">
          <cell r="A423">
            <v>41764</v>
          </cell>
          <cell r="B423">
            <v>99.74</v>
          </cell>
          <cell r="C423">
            <v>102.06619047619047</v>
          </cell>
        </row>
        <row r="424">
          <cell r="A424">
            <v>41761</v>
          </cell>
          <cell r="B424">
            <v>100.09</v>
          </cell>
          <cell r="C424">
            <v>102.09238095238095</v>
          </cell>
        </row>
        <row r="425">
          <cell r="A425">
            <v>41760</v>
          </cell>
          <cell r="B425">
            <v>99.69</v>
          </cell>
          <cell r="C425">
            <v>102.06904761904764</v>
          </cell>
        </row>
        <row r="426">
          <cell r="A426">
            <v>41759</v>
          </cell>
          <cell r="B426">
            <v>100.07</v>
          </cell>
          <cell r="C426">
            <v>102.06904761904764</v>
          </cell>
        </row>
        <row r="427">
          <cell r="A427">
            <v>41758</v>
          </cell>
          <cell r="B427">
            <v>101.56</v>
          </cell>
          <cell r="C427">
            <v>102.14047619047621</v>
          </cell>
        </row>
        <row r="428">
          <cell r="A428">
            <v>41757</v>
          </cell>
          <cell r="B428">
            <v>101.13</v>
          </cell>
          <cell r="C428">
            <v>102.14857142857143</v>
          </cell>
        </row>
        <row r="429">
          <cell r="A429">
            <v>41754</v>
          </cell>
          <cell r="B429">
            <v>100.85</v>
          </cell>
          <cell r="C429">
            <v>102.15428571428571</v>
          </cell>
        </row>
        <row r="430">
          <cell r="A430">
            <v>41753</v>
          </cell>
          <cell r="B430">
            <v>102.2</v>
          </cell>
          <cell r="C430">
            <v>102.14285714285714</v>
          </cell>
        </row>
        <row r="431">
          <cell r="A431">
            <v>41752</v>
          </cell>
          <cell r="B431">
            <v>101.47</v>
          </cell>
          <cell r="C431">
            <v>102.02190476190476</v>
          </cell>
        </row>
        <row r="432">
          <cell r="A432">
            <v>41751</v>
          </cell>
          <cell r="B432">
            <v>101.69</v>
          </cell>
          <cell r="C432">
            <v>101.95428571428572</v>
          </cell>
        </row>
        <row r="433">
          <cell r="A433">
            <v>41750</v>
          </cell>
          <cell r="B433">
            <v>104.35</v>
          </cell>
          <cell r="C433">
            <v>101.87238095238094</v>
          </cell>
        </row>
        <row r="434">
          <cell r="A434">
            <v>41746</v>
          </cell>
          <cell r="B434">
            <v>104.33</v>
          </cell>
          <cell r="C434">
            <v>101.65</v>
          </cell>
        </row>
        <row r="435">
          <cell r="A435">
            <v>41745</v>
          </cell>
          <cell r="B435">
            <v>103.71</v>
          </cell>
          <cell r="C435">
            <v>101.47761904761903</v>
          </cell>
        </row>
        <row r="436">
          <cell r="A436">
            <v>41744</v>
          </cell>
          <cell r="B436">
            <v>103.7</v>
          </cell>
          <cell r="C436">
            <v>101.3047619047619</v>
          </cell>
        </row>
        <row r="437">
          <cell r="A437">
            <v>41743</v>
          </cell>
          <cell r="B437">
            <v>104.05</v>
          </cell>
          <cell r="C437">
            <v>101.05380952380953</v>
          </cell>
        </row>
        <row r="438">
          <cell r="A438">
            <v>41740</v>
          </cell>
          <cell r="B438">
            <v>103.68</v>
          </cell>
          <cell r="C438">
            <v>100.82428571428571</v>
          </cell>
        </row>
        <row r="439">
          <cell r="A439">
            <v>41739</v>
          </cell>
          <cell r="B439">
            <v>103.37</v>
          </cell>
          <cell r="C439">
            <v>100.5809523809524</v>
          </cell>
        </row>
        <row r="440">
          <cell r="A440">
            <v>41738</v>
          </cell>
          <cell r="B440">
            <v>103.55</v>
          </cell>
          <cell r="C440">
            <v>100.33904761904762</v>
          </cell>
        </row>
        <row r="441">
          <cell r="A441">
            <v>41737</v>
          </cell>
          <cell r="B441">
            <v>102.57</v>
          </cell>
          <cell r="C441">
            <v>100.18380952380953</v>
          </cell>
        </row>
        <row r="442">
          <cell r="A442">
            <v>41736</v>
          </cell>
          <cell r="B442">
            <v>100.43</v>
          </cell>
          <cell r="C442">
            <v>100.12761904761904</v>
          </cell>
        </row>
        <row r="443">
          <cell r="A443">
            <v>41733</v>
          </cell>
          <cell r="B443">
            <v>101.16</v>
          </cell>
          <cell r="C443">
            <v>100.24142857142859</v>
          </cell>
        </row>
        <row r="444">
          <cell r="A444">
            <v>41732</v>
          </cell>
          <cell r="B444">
            <v>100.29</v>
          </cell>
          <cell r="C444">
            <v>100.27285714285715</v>
          </cell>
        </row>
        <row r="445">
          <cell r="A445">
            <v>41731</v>
          </cell>
          <cell r="B445">
            <v>99.6</v>
          </cell>
          <cell r="C445">
            <v>100.34238095238094</v>
          </cell>
        </row>
        <row r="446">
          <cell r="A446">
            <v>41730</v>
          </cell>
          <cell r="B446">
            <v>99.69</v>
          </cell>
          <cell r="C446">
            <v>100.53476190476191</v>
          </cell>
        </row>
        <row r="447">
          <cell r="A447">
            <v>41729</v>
          </cell>
          <cell r="B447">
            <v>101.57</v>
          </cell>
          <cell r="C447">
            <v>100.80380952380953</v>
          </cell>
        </row>
        <row r="448">
          <cell r="A448">
            <v>41726</v>
          </cell>
          <cell r="B448">
            <v>101.73</v>
          </cell>
          <cell r="C448">
            <v>100.86619047619048</v>
          </cell>
        </row>
        <row r="449">
          <cell r="A449">
            <v>41725</v>
          </cell>
          <cell r="B449">
            <v>101.25</v>
          </cell>
          <cell r="C449">
            <v>100.91142857142856</v>
          </cell>
        </row>
        <row r="450">
          <cell r="A450">
            <v>41724</v>
          </cell>
          <cell r="B450">
            <v>100.61</v>
          </cell>
          <cell r="C450">
            <v>100.99142857142859</v>
          </cell>
        </row>
        <row r="451">
          <cell r="A451">
            <v>41723</v>
          </cell>
          <cell r="B451">
            <v>99.66</v>
          </cell>
          <cell r="C451">
            <v>101.06714285714285</v>
          </cell>
        </row>
        <row r="452">
          <cell r="A452">
            <v>41722</v>
          </cell>
          <cell r="B452">
            <v>100.05</v>
          </cell>
          <cell r="C452">
            <v>101.23428571428572</v>
          </cell>
        </row>
        <row r="453">
          <cell r="A453">
            <v>41719</v>
          </cell>
          <cell r="B453">
            <v>99.97</v>
          </cell>
          <cell r="C453">
            <v>101.35238095238095</v>
          </cell>
        </row>
        <row r="454">
          <cell r="A454">
            <v>41718</v>
          </cell>
          <cell r="B454">
            <v>99.68</v>
          </cell>
          <cell r="C454">
            <v>101.50619047619048</v>
          </cell>
        </row>
        <row r="455">
          <cell r="A455">
            <v>41717</v>
          </cell>
          <cell r="B455">
            <v>100.71</v>
          </cell>
          <cell r="C455">
            <v>101.68619047619048</v>
          </cell>
        </row>
        <row r="456">
          <cell r="A456">
            <v>41716</v>
          </cell>
          <cell r="B456">
            <v>100.08</v>
          </cell>
          <cell r="C456">
            <v>101.77333333333334</v>
          </cell>
        </row>
        <row r="457">
          <cell r="A457">
            <v>41715</v>
          </cell>
          <cell r="B457">
            <v>98.43</v>
          </cell>
          <cell r="C457">
            <v>101.78428571428573</v>
          </cell>
        </row>
        <row r="458">
          <cell r="A458">
            <v>41712</v>
          </cell>
          <cell r="B458">
            <v>99.23</v>
          </cell>
          <cell r="C458">
            <v>101.87190476190479</v>
          </cell>
        </row>
        <row r="459">
          <cell r="A459">
            <v>41711</v>
          </cell>
          <cell r="B459">
            <v>98.57</v>
          </cell>
          <cell r="C459">
            <v>101.92666666666666</v>
          </cell>
        </row>
        <row r="460">
          <cell r="A460">
            <v>41710</v>
          </cell>
          <cell r="B460">
            <v>98.29</v>
          </cell>
          <cell r="C460">
            <v>101.99285714285716</v>
          </cell>
        </row>
        <row r="461">
          <cell r="A461">
            <v>41709</v>
          </cell>
          <cell r="B461">
            <v>100.29</v>
          </cell>
          <cell r="C461">
            <v>102.08000000000001</v>
          </cell>
        </row>
        <row r="462">
          <cell r="A462">
            <v>41708</v>
          </cell>
          <cell r="B462">
            <v>101.39</v>
          </cell>
          <cell r="C462">
            <v>102.06523809523809</v>
          </cell>
        </row>
        <row r="463">
          <cell r="A463">
            <v>41705</v>
          </cell>
          <cell r="B463">
            <v>102.82</v>
          </cell>
          <cell r="C463">
            <v>101.89619047619048</v>
          </cell>
        </row>
        <row r="464">
          <cell r="A464">
            <v>41704</v>
          </cell>
          <cell r="B464">
            <v>101.82</v>
          </cell>
          <cell r="C464">
            <v>101.63809523809522</v>
          </cell>
        </row>
        <row r="465">
          <cell r="A465">
            <v>41703</v>
          </cell>
          <cell r="B465">
            <v>101.75</v>
          </cell>
          <cell r="C465">
            <v>101.41999999999999</v>
          </cell>
        </row>
        <row r="466">
          <cell r="A466">
            <v>41702</v>
          </cell>
          <cell r="B466">
            <v>103.64</v>
          </cell>
          <cell r="C466">
            <v>101.16714285714285</v>
          </cell>
        </row>
        <row r="467">
          <cell r="A467">
            <v>41701</v>
          </cell>
          <cell r="B467">
            <v>105.34</v>
          </cell>
          <cell r="C467">
            <v>100.87714285714286</v>
          </cell>
        </row>
        <row r="468">
          <cell r="A468">
            <v>41698</v>
          </cell>
          <cell r="B468">
            <v>102.88</v>
          </cell>
          <cell r="C468">
            <v>100.5395238095238</v>
          </cell>
        </row>
        <row r="469">
          <cell r="A469">
            <v>41697</v>
          </cell>
          <cell r="B469">
            <v>102.68</v>
          </cell>
          <cell r="C469">
            <v>100.27571428571429</v>
          </cell>
        </row>
        <row r="470">
          <cell r="A470">
            <v>41696</v>
          </cell>
          <cell r="B470">
            <v>102.93</v>
          </cell>
          <cell r="C470">
            <v>100.02857142857142</v>
          </cell>
        </row>
        <row r="471">
          <cell r="A471">
            <v>41695</v>
          </cell>
          <cell r="B471">
            <v>102.2</v>
          </cell>
          <cell r="C471">
            <v>99.689999999999984</v>
          </cell>
        </row>
        <row r="472">
          <cell r="A472">
            <v>41694</v>
          </cell>
          <cell r="B472">
            <v>103.17</v>
          </cell>
          <cell r="C472">
            <v>99.42619047619047</v>
          </cell>
        </row>
        <row r="473">
          <cell r="A473">
            <v>41691</v>
          </cell>
          <cell r="B473">
            <v>102.53</v>
          </cell>
          <cell r="C473">
            <v>99.143333333333317</v>
          </cell>
        </row>
        <row r="474">
          <cell r="A474">
            <v>41690</v>
          </cell>
          <cell r="B474">
            <v>103.2</v>
          </cell>
          <cell r="C474">
            <v>98.84904761904761</v>
          </cell>
        </row>
        <row r="475">
          <cell r="A475">
            <v>41689</v>
          </cell>
          <cell r="B475">
            <v>103.46</v>
          </cell>
          <cell r="C475">
            <v>98.435238095238091</v>
          </cell>
        </row>
        <row r="476">
          <cell r="A476">
            <v>41688</v>
          </cell>
          <cell r="B476">
            <v>102.54</v>
          </cell>
          <cell r="C476">
            <v>97.982857142857142</v>
          </cell>
        </row>
        <row r="477">
          <cell r="A477">
            <v>41684</v>
          </cell>
          <cell r="B477">
            <v>100.31</v>
          </cell>
          <cell r="C477">
            <v>97.554285714285712</v>
          </cell>
        </row>
        <row r="478">
          <cell r="A478">
            <v>41683</v>
          </cell>
          <cell r="B478">
            <v>100.27</v>
          </cell>
          <cell r="C478">
            <v>97.243333333333311</v>
          </cell>
        </row>
        <row r="479">
          <cell r="A479">
            <v>41682</v>
          </cell>
          <cell r="B479">
            <v>100.38</v>
          </cell>
          <cell r="C479">
            <v>96.856666666666655</v>
          </cell>
        </row>
        <row r="480">
          <cell r="A480">
            <v>41681</v>
          </cell>
          <cell r="B480">
            <v>99.96</v>
          </cell>
          <cell r="C480">
            <v>96.431428571428569</v>
          </cell>
        </row>
        <row r="481">
          <cell r="A481">
            <v>41680</v>
          </cell>
          <cell r="B481">
            <v>100.12</v>
          </cell>
          <cell r="C481">
            <v>96.070952380952392</v>
          </cell>
        </row>
        <row r="482">
          <cell r="A482">
            <v>41677</v>
          </cell>
          <cell r="B482">
            <v>99.98</v>
          </cell>
          <cell r="C482">
            <v>95.653809523809542</v>
          </cell>
        </row>
        <row r="483">
          <cell r="A483">
            <v>41676</v>
          </cell>
          <cell r="B483">
            <v>97.84</v>
          </cell>
          <cell r="C483">
            <v>95.269047619047626</v>
          </cell>
        </row>
        <row r="484">
          <cell r="A484">
            <v>41675</v>
          </cell>
          <cell r="B484">
            <v>97.4</v>
          </cell>
          <cell r="C484">
            <v>95.053333333333342</v>
          </cell>
        </row>
        <row r="485">
          <cell r="A485">
            <v>41674</v>
          </cell>
          <cell r="B485">
            <v>97.24</v>
          </cell>
          <cell r="C485">
            <v>94.849523809523816</v>
          </cell>
        </row>
        <row r="486">
          <cell r="A486">
            <v>41673</v>
          </cell>
          <cell r="B486">
            <v>96.44</v>
          </cell>
          <cell r="C486">
            <v>94.679047619047637</v>
          </cell>
        </row>
        <row r="487">
          <cell r="A487">
            <v>41670</v>
          </cell>
          <cell r="B487">
            <v>97.55</v>
          </cell>
          <cell r="C487">
            <v>94.617142857142881</v>
          </cell>
        </row>
        <row r="488">
          <cell r="A488">
            <v>41669</v>
          </cell>
          <cell r="B488">
            <v>98.25</v>
          </cell>
          <cell r="C488">
            <v>94.470500000000015</v>
          </cell>
        </row>
        <row r="489">
          <cell r="A489">
            <v>41668</v>
          </cell>
          <cell r="B489">
            <v>97.34</v>
          </cell>
          <cell r="C489">
            <v>94.27157894736844</v>
          </cell>
        </row>
        <row r="490">
          <cell r="A490">
            <v>41667</v>
          </cell>
          <cell r="B490">
            <v>97.49</v>
          </cell>
          <cell r="C490">
            <v>94.101111111111123</v>
          </cell>
        </row>
        <row r="491">
          <cell r="A491">
            <v>41666</v>
          </cell>
          <cell r="B491">
            <v>95.82</v>
          </cell>
          <cell r="C491">
            <v>93.901764705882343</v>
          </cell>
        </row>
        <row r="492">
          <cell r="A492">
            <v>41663</v>
          </cell>
          <cell r="B492">
            <v>96.66</v>
          </cell>
          <cell r="C492">
            <v>93.781875000000014</v>
          </cell>
        </row>
        <row r="493">
          <cell r="A493">
            <v>41662</v>
          </cell>
          <cell r="B493">
            <v>97.23</v>
          </cell>
          <cell r="C493">
            <v>93.590000000000018</v>
          </cell>
        </row>
        <row r="494">
          <cell r="A494">
            <v>41661</v>
          </cell>
          <cell r="B494">
            <v>96.35</v>
          </cell>
          <cell r="C494">
            <v>93.330000000000027</v>
          </cell>
        </row>
        <row r="495">
          <cell r="A495">
            <v>41660</v>
          </cell>
          <cell r="B495">
            <v>94.51</v>
          </cell>
          <cell r="C495">
            <v>93.097692307692313</v>
          </cell>
        </row>
        <row r="496">
          <cell r="A496">
            <v>41656</v>
          </cell>
          <cell r="B496">
            <v>93.96</v>
          </cell>
          <cell r="C496">
            <v>92.98</v>
          </cell>
        </row>
        <row r="497">
          <cell r="A497">
            <v>41655</v>
          </cell>
          <cell r="B497">
            <v>93.54</v>
          </cell>
          <cell r="C497">
            <v>92.890909090909076</v>
          </cell>
        </row>
        <row r="498">
          <cell r="A498">
            <v>41654</v>
          </cell>
          <cell r="B498">
            <v>93.78</v>
          </cell>
          <cell r="C498">
            <v>92.825999999999993</v>
          </cell>
        </row>
        <row r="499">
          <cell r="A499">
            <v>41653</v>
          </cell>
          <cell r="B499">
            <v>92.15</v>
          </cell>
          <cell r="C499">
            <v>92.719999999999985</v>
          </cell>
        </row>
        <row r="500">
          <cell r="A500">
            <v>41652</v>
          </cell>
          <cell r="B500">
            <v>91.45</v>
          </cell>
          <cell r="C500">
            <v>92.791249999999991</v>
          </cell>
        </row>
        <row r="501">
          <cell r="A501">
            <v>41649</v>
          </cell>
          <cell r="B501">
            <v>92.39</v>
          </cell>
          <cell r="C501">
            <v>92.982857142857142</v>
          </cell>
        </row>
        <row r="502">
          <cell r="A502">
            <v>41648</v>
          </cell>
          <cell r="B502">
            <v>91.36</v>
          </cell>
          <cell r="C502">
            <v>93.081666666666663</v>
          </cell>
        </row>
        <row r="503">
          <cell r="A503">
            <v>41647</v>
          </cell>
          <cell r="B503">
            <v>91.9</v>
          </cell>
          <cell r="C503">
            <v>93.426000000000002</v>
          </cell>
        </row>
        <row r="504">
          <cell r="A504">
            <v>41646</v>
          </cell>
          <cell r="B504">
            <v>93.31</v>
          </cell>
          <cell r="C504">
            <v>93.807500000000005</v>
          </cell>
        </row>
        <row r="505">
          <cell r="A505">
            <v>41645</v>
          </cell>
          <cell r="B505">
            <v>93.12</v>
          </cell>
          <cell r="C505">
            <v>93.973333333333343</v>
          </cell>
        </row>
        <row r="506">
          <cell r="A506">
            <v>41642</v>
          </cell>
          <cell r="B506">
            <v>93.66</v>
          </cell>
          <cell r="C506">
            <v>94.4</v>
          </cell>
        </row>
        <row r="507">
          <cell r="A507">
            <v>41641</v>
          </cell>
          <cell r="B507">
            <v>95.14</v>
          </cell>
          <cell r="C507">
            <v>95.14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Rubric Check"/>
      <sheetName val="Black_Scholes-Sample"/>
      <sheetName val="Black Scholes-Erich"/>
      <sheetName val="Binomial Tree"/>
      <sheetName val="MSFT"/>
      <sheetName val="Oil-Trend_line"/>
      <sheetName val="oil"/>
      <sheetName val="oil-quandl-err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1E-3</v>
          </cell>
        </row>
      </sheetData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22"/>
  <sheetViews>
    <sheetView workbookViewId="0">
      <selection activeCell="D33" sqref="D33"/>
    </sheetView>
  </sheetViews>
  <sheetFormatPr defaultRowHeight="12.75" x14ac:dyDescent="0.2"/>
  <cols>
    <col min="1" max="1" width="17.7109375" customWidth="1"/>
    <col min="2" max="2" width="10.28515625" customWidth="1"/>
    <col min="3" max="3" width="9.5703125" customWidth="1"/>
  </cols>
  <sheetData>
    <row r="2" spans="1:5" ht="21" x14ac:dyDescent="0.35">
      <c r="A2" s="12" t="s">
        <v>37</v>
      </c>
    </row>
    <row r="4" spans="1:5" ht="15" x14ac:dyDescent="0.25">
      <c r="A4" s="13" t="s">
        <v>38</v>
      </c>
      <c r="B4" s="13">
        <f>MSFT!E2</f>
        <v>65.860000999999997</v>
      </c>
    </row>
    <row r="5" spans="1:5" ht="15" x14ac:dyDescent="0.25">
      <c r="A5" s="13" t="s">
        <v>39</v>
      </c>
      <c r="B5" s="13">
        <f>MSFT!L4</f>
        <v>65.860000999999997</v>
      </c>
    </row>
    <row r="6" spans="1:5" ht="15" x14ac:dyDescent="0.25">
      <c r="A6" s="13" t="s">
        <v>40</v>
      </c>
      <c r="B6" s="13">
        <f>MSFT!L3</f>
        <v>1</v>
      </c>
    </row>
    <row r="7" spans="1:5" ht="15" x14ac:dyDescent="0.25">
      <c r="A7" s="13" t="s">
        <v>41</v>
      </c>
      <c r="B7" s="13">
        <f>MSFT!L6</f>
        <v>0.18476953609818214</v>
      </c>
    </row>
    <row r="8" spans="1:5" ht="15" x14ac:dyDescent="0.25">
      <c r="A8" s="13" t="s">
        <v>42</v>
      </c>
      <c r="B8" s="67">
        <f>MSFT!L2</f>
        <v>1E-3</v>
      </c>
    </row>
    <row r="9" spans="1:5" ht="15" x14ac:dyDescent="0.25">
      <c r="A9" s="13"/>
      <c r="B9" s="13"/>
    </row>
    <row r="10" spans="1:5" ht="15" x14ac:dyDescent="0.25">
      <c r="A10" s="13" t="s">
        <v>19</v>
      </c>
      <c r="B10" s="14">
        <f>(LN(B4/B5)+(B8+(B7*B7)/2)*B6)/(B7*SQRT(B6))</f>
        <v>9.7796915641801499E-2</v>
      </c>
      <c r="C10" s="15"/>
    </row>
    <row r="11" spans="1:5" ht="15" x14ac:dyDescent="0.25">
      <c r="A11" s="13" t="s">
        <v>20</v>
      </c>
      <c r="B11" s="14">
        <f>B10-B7*SQRT(B6)</f>
        <v>-8.6972620456380642E-2</v>
      </c>
      <c r="C11" s="15"/>
    </row>
    <row r="13" spans="1:5" ht="15" x14ac:dyDescent="0.25">
      <c r="A13" s="13" t="s">
        <v>43</v>
      </c>
      <c r="B13" s="13">
        <f>_xlfn.NORM.S.DIST(B10, TRUE)</f>
        <v>0.53895322169714166</v>
      </c>
      <c r="C13" s="13"/>
      <c r="D13" s="13" t="s">
        <v>44</v>
      </c>
      <c r="E13" s="13">
        <f>_xlfn.NORM.S.DIST(-B10, TRUE)</f>
        <v>0.46104677830285834</v>
      </c>
    </row>
    <row r="14" spans="1:5" ht="15" x14ac:dyDescent="0.25">
      <c r="A14" s="13" t="s">
        <v>45</v>
      </c>
      <c r="B14" s="13">
        <f>_xlfn.NORM.S.DIST(B11, TRUE)</f>
        <v>0.46534663766537998</v>
      </c>
      <c r="C14" s="13"/>
      <c r="D14" s="13" t="s">
        <v>46</v>
      </c>
      <c r="E14" s="13">
        <f>_xlfn.NORM.S.DIST(-B11, TRUE)</f>
        <v>0.53465336233462002</v>
      </c>
    </row>
    <row r="15" spans="1:5" ht="15" x14ac:dyDescent="0.25">
      <c r="A15" s="13" t="s">
        <v>47</v>
      </c>
      <c r="B15" s="16">
        <f>B4*B13-B5*EXP(-B6*B8)*B14</f>
        <v>4.8783621092020653</v>
      </c>
    </row>
    <row r="16" spans="1:5" ht="15" x14ac:dyDescent="0.25">
      <c r="A16" s="13" t="s">
        <v>48</v>
      </c>
      <c r="B16" s="16">
        <f>B5*EXP(-B8*B6)*E14-B4*E13</f>
        <v>4.8125350272286411</v>
      </c>
    </row>
    <row r="22" spans="2:2" x14ac:dyDescent="0.2">
      <c r="B22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5"/>
  <sheetViews>
    <sheetView workbookViewId="0">
      <selection activeCell="B12" sqref="B12"/>
    </sheetView>
  </sheetViews>
  <sheetFormatPr defaultRowHeight="12.75" x14ac:dyDescent="0.2"/>
  <cols>
    <col min="1" max="1" width="15.140625" customWidth="1"/>
  </cols>
  <sheetData>
    <row r="1" spans="1:4" x14ac:dyDescent="0.2">
      <c r="A1" s="22" t="s">
        <v>87</v>
      </c>
    </row>
    <row r="4" spans="1:4" x14ac:dyDescent="0.2">
      <c r="B4" t="s">
        <v>78</v>
      </c>
    </row>
    <row r="5" spans="1:4" x14ac:dyDescent="0.2">
      <c r="A5" t="s">
        <v>79</v>
      </c>
    </row>
    <row r="6" spans="1:4" x14ac:dyDescent="0.2">
      <c r="A6" t="s">
        <v>38</v>
      </c>
      <c r="B6">
        <f>MSFT!E2</f>
        <v>65.860000999999997</v>
      </c>
      <c r="D6">
        <f>B6+B11</f>
        <v>65.860011</v>
      </c>
    </row>
    <row r="7" spans="1:4" x14ac:dyDescent="0.2">
      <c r="A7" t="s">
        <v>50</v>
      </c>
      <c r="B7">
        <f>MSFT!L4</f>
        <v>65.860000999999997</v>
      </c>
      <c r="D7">
        <f>B7</f>
        <v>65.860000999999997</v>
      </c>
    </row>
    <row r="8" spans="1:4" x14ac:dyDescent="0.2">
      <c r="A8" t="s">
        <v>42</v>
      </c>
      <c r="B8" s="18">
        <f>MSFT!L2</f>
        <v>1E-3</v>
      </c>
      <c r="D8">
        <f>B8</f>
        <v>1E-3</v>
      </c>
    </row>
    <row r="9" spans="1:4" x14ac:dyDescent="0.2">
      <c r="A9" t="s">
        <v>40</v>
      </c>
      <c r="B9">
        <f>MSFT!L3</f>
        <v>1</v>
      </c>
      <c r="D9">
        <f>B9</f>
        <v>1</v>
      </c>
    </row>
    <row r="10" spans="1:4" x14ac:dyDescent="0.2">
      <c r="A10" t="s">
        <v>41</v>
      </c>
      <c r="B10">
        <f>MSFT!L6</f>
        <v>0.18476953609818214</v>
      </c>
      <c r="D10">
        <f>B10</f>
        <v>0.18476953609818214</v>
      </c>
    </row>
    <row r="11" spans="1:4" x14ac:dyDescent="0.2">
      <c r="A11" t="s">
        <v>80</v>
      </c>
      <c r="B11">
        <v>1.0000000000000001E-5</v>
      </c>
    </row>
    <row r="12" spans="1:4" x14ac:dyDescent="0.2">
      <c r="A12" t="s">
        <v>81</v>
      </c>
      <c r="B12">
        <v>0.01</v>
      </c>
    </row>
    <row r="13" spans="1:4" x14ac:dyDescent="0.2">
      <c r="A13" t="s">
        <v>82</v>
      </c>
      <c r="B13">
        <f>(LN(B6/B7)+B9*(B8-B12+(B10^2)/2))/(B10*SQRT(B9))</f>
        <v>4.3675439714697159E-2</v>
      </c>
      <c r="D13">
        <f>(LN(D6/D7)+D9*(D8-B12+(D10^2)/2))/(D10*SQRT(D9))</f>
        <v>4.3676261480123442E-2</v>
      </c>
    </row>
    <row r="15" spans="1:4" x14ac:dyDescent="0.2">
      <c r="A15" t="s">
        <v>83</v>
      </c>
      <c r="B15">
        <f>B13-B10*SQRT(B9)</f>
        <v>-0.14109409638348497</v>
      </c>
      <c r="D15">
        <f>D13-D10*SQRT(D9)</f>
        <v>-0.14109327461805871</v>
      </c>
    </row>
    <row r="17" spans="1:4" x14ac:dyDescent="0.2">
      <c r="A17" t="s">
        <v>43</v>
      </c>
      <c r="B17">
        <f>NORMSDIST(B13)</f>
        <v>0.51741844160061956</v>
      </c>
      <c r="D17">
        <f>NORMSDIST(D13)</f>
        <v>0.51741876912505413</v>
      </c>
    </row>
    <row r="18" spans="1:4" x14ac:dyDescent="0.2">
      <c r="A18" t="s">
        <v>45</v>
      </c>
      <c r="B18">
        <f>NORMSDIST(B15)</f>
        <v>0.44389780370037141</v>
      </c>
      <c r="D18">
        <f>NORMSDIST(D15)</f>
        <v>0.4438981282903357</v>
      </c>
    </row>
    <row r="20" spans="1:4" x14ac:dyDescent="0.2">
      <c r="A20" t="s">
        <v>84</v>
      </c>
      <c r="B20">
        <f>B6*B17*EXP(-B12*B9)-B7*B18*EXP(-B8*B9)</f>
        <v>4.5322161855253249</v>
      </c>
      <c r="D20">
        <f>D6*D17*EXP(-B12*D9)-D7*D18*EXP(-D8*D9)</f>
        <v>4.5322213082273741</v>
      </c>
    </row>
    <row r="21" spans="1:4" x14ac:dyDescent="0.2">
      <c r="A21" t="s">
        <v>85</v>
      </c>
      <c r="B21">
        <f>B7*EXP(-B8*B9)*NORMSDIST(-B15)-B6*EXP(-$B$12*B9)*NORMSDIST(-B13)</f>
        <v>5.1217070627818657</v>
      </c>
      <c r="D21">
        <f>D7*EXP(-D8*D9)*NORMSDIST(-D15)-D6*EXP(-$B$12*D9)*NORMSDIST(-D13)</f>
        <v>5.1217022849855702</v>
      </c>
    </row>
    <row r="23" spans="1:4" x14ac:dyDescent="0.2">
      <c r="B23" t="s">
        <v>7</v>
      </c>
      <c r="D23" t="s">
        <v>14</v>
      </c>
    </row>
    <row r="25" spans="1:4" x14ac:dyDescent="0.2">
      <c r="A25" t="s">
        <v>86</v>
      </c>
      <c r="B25">
        <f>(D20-B20)/(D6-B6)</f>
        <v>0.51227020475945906</v>
      </c>
      <c r="D25">
        <f>(D21-B21)/(D6-B6)</f>
        <v>-0.47777962939688212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H16"/>
  <sheetViews>
    <sheetView workbookViewId="0">
      <selection activeCell="B9" sqref="B9"/>
    </sheetView>
  </sheetViews>
  <sheetFormatPr defaultRowHeight="12.75" x14ac:dyDescent="0.2"/>
  <sheetData>
    <row r="2" spans="1:8" x14ac:dyDescent="0.2">
      <c r="A2" t="s">
        <v>38</v>
      </c>
      <c r="B2">
        <f>MSFT!E2</f>
        <v>65.860000999999997</v>
      </c>
    </row>
    <row r="3" spans="1:8" x14ac:dyDescent="0.2">
      <c r="A3" t="s">
        <v>41</v>
      </c>
      <c r="B3">
        <f>MSFT!L6</f>
        <v>0.18476953609818214</v>
      </c>
    </row>
    <row r="4" spans="1:8" x14ac:dyDescent="0.2">
      <c r="A4" t="s">
        <v>49</v>
      </c>
      <c r="B4" s="22">
        <f>MSFT!L3</f>
        <v>1</v>
      </c>
      <c r="H4" s="18">
        <f>D8*B7</f>
        <v>79.225706900348641</v>
      </c>
    </row>
    <row r="5" spans="1:8" x14ac:dyDescent="0.2">
      <c r="A5" t="s">
        <v>50</v>
      </c>
      <c r="B5">
        <f>MSFT!L4</f>
        <v>65.860000999999997</v>
      </c>
      <c r="G5" t="s">
        <v>51</v>
      </c>
      <c r="H5" s="18">
        <f>MAX(0,(H4-B5))</f>
        <v>13.365705900348644</v>
      </c>
    </row>
    <row r="6" spans="1:8" x14ac:dyDescent="0.2">
      <c r="A6" t="s">
        <v>42</v>
      </c>
      <c r="B6" s="64">
        <f>MSFT!L2</f>
        <v>1E-3</v>
      </c>
      <c r="H6" s="18"/>
    </row>
    <row r="7" spans="1:8" x14ac:dyDescent="0.2">
      <c r="A7" t="s">
        <v>29</v>
      </c>
      <c r="B7" s="17">
        <f>EXP(B3*SQRT(B4))</f>
        <v>1.2029411736624274</v>
      </c>
      <c r="H7" s="18"/>
    </row>
    <row r="8" spans="1:8" x14ac:dyDescent="0.2">
      <c r="A8" t="s">
        <v>52</v>
      </c>
      <c r="B8" s="17">
        <f>1/B7</f>
        <v>0.83129584546136981</v>
      </c>
      <c r="D8">
        <f>B2</f>
        <v>65.860000999999997</v>
      </c>
      <c r="H8" s="18"/>
    </row>
    <row r="9" spans="1:8" x14ac:dyDescent="0.2">
      <c r="A9" t="s">
        <v>53</v>
      </c>
      <c r="B9" s="17">
        <f>(EXP(B6*B4)-B8)/(B7-B8)</f>
        <v>0.45663066861835949</v>
      </c>
      <c r="H9" s="18"/>
    </row>
    <row r="10" spans="1:8" x14ac:dyDescent="0.2">
      <c r="A10" t="s">
        <v>54</v>
      </c>
      <c r="B10" s="17">
        <f>1-B9</f>
        <v>0.54336933138164056</v>
      </c>
      <c r="H10" s="18">
        <f>D8*B8</f>
        <v>54.749145213381659</v>
      </c>
    </row>
    <row r="11" spans="1:8" x14ac:dyDescent="0.2">
      <c r="G11" t="s">
        <v>51</v>
      </c>
      <c r="H11" s="18">
        <f>MAX(0,(H10-B5))</f>
        <v>0</v>
      </c>
    </row>
    <row r="16" spans="1:8" ht="15" x14ac:dyDescent="0.25">
      <c r="A16" s="13" t="s">
        <v>55</v>
      </c>
      <c r="C16" s="19">
        <f>(H5*B9+H11*B10)/(1+B6)</f>
        <v>6.0970941277048496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252"/>
  <sheetViews>
    <sheetView workbookViewId="0">
      <selection activeCell="B10" sqref="B10"/>
    </sheetView>
  </sheetViews>
  <sheetFormatPr defaultRowHeight="15" x14ac:dyDescent="0.25"/>
  <cols>
    <col min="1" max="1" width="18.42578125" customWidth="1"/>
    <col min="2" max="2" width="10.7109375" customWidth="1"/>
    <col min="3" max="3" width="13.28515625" customWidth="1"/>
    <col min="4" max="5" width="9.5703125" customWidth="1"/>
    <col min="6" max="6" width="13.85546875" customWidth="1"/>
    <col min="7" max="7" width="9.5703125" customWidth="1"/>
    <col min="23" max="25" width="9.140625" style="65"/>
  </cols>
  <sheetData>
    <row r="1" spans="1:25" x14ac:dyDescent="0.25"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</row>
    <row r="2" spans="1:25" x14ac:dyDescent="0.25">
      <c r="C2" s="65"/>
      <c r="D2" s="65"/>
      <c r="E2" s="65"/>
      <c r="F2" s="65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</row>
    <row r="3" spans="1:25" x14ac:dyDescent="0.25">
      <c r="C3" s="65"/>
      <c r="D3" s="65"/>
      <c r="E3" s="65"/>
      <c r="F3" s="65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</row>
    <row r="4" spans="1:25" x14ac:dyDescent="0.25">
      <c r="C4" s="65"/>
      <c r="D4" s="65"/>
      <c r="E4" s="65"/>
      <c r="F4" s="65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</row>
    <row r="5" spans="1:25" x14ac:dyDescent="0.25">
      <c r="A5" s="77" t="s">
        <v>11</v>
      </c>
      <c r="B5" s="71">
        <f>MSFT!E2</f>
        <v>65.860000999999997</v>
      </c>
      <c r="C5" s="65"/>
      <c r="D5" s="65"/>
      <c r="E5" s="65"/>
      <c r="H5" s="65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</row>
    <row r="6" spans="1:25" x14ac:dyDescent="0.25">
      <c r="A6" s="78" t="s">
        <v>68</v>
      </c>
      <c r="B6" s="72">
        <f>MSFT!L6</f>
        <v>0.18476953609818214</v>
      </c>
      <c r="C6" s="65"/>
      <c r="D6" s="65"/>
      <c r="E6" s="65"/>
      <c r="H6" s="65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</row>
    <row r="7" spans="1:25" x14ac:dyDescent="0.25">
      <c r="A7" s="78" t="s">
        <v>90</v>
      </c>
      <c r="B7" s="73">
        <v>252</v>
      </c>
      <c r="C7" s="65"/>
      <c r="D7" s="65"/>
      <c r="E7" s="65"/>
      <c r="H7" s="65"/>
      <c r="I7" s="66"/>
      <c r="J7" s="66"/>
      <c r="K7" s="66">
        <f>IF($B$11&gt;=4,J9*$B$13,"")</f>
        <v>95.30386484294084</v>
      </c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</row>
    <row r="8" spans="1:25" x14ac:dyDescent="0.25">
      <c r="A8" s="78" t="s">
        <v>97</v>
      </c>
      <c r="B8" s="73">
        <v>1</v>
      </c>
      <c r="C8" s="65"/>
      <c r="D8" s="65"/>
      <c r="E8" s="65"/>
      <c r="H8" s="65"/>
      <c r="I8" s="66"/>
      <c r="J8" s="66"/>
      <c r="K8" s="66">
        <f>IF($B$11&gt;=4,IF(IF($B$11=4,K7-$B$10,$B$16*($B$15*L6+$B$17*L10))&gt;0,IF($B$11=4,K7-$B$10,$B$16*($B$15*L6+$B$17*L10)),0),"")</f>
        <v>29.44386484294084</v>
      </c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</row>
    <row r="9" spans="1:25" x14ac:dyDescent="0.25">
      <c r="A9" s="78" t="s">
        <v>91</v>
      </c>
      <c r="B9" s="74">
        <f>[2]MSFT!M2</f>
        <v>1E-3</v>
      </c>
      <c r="C9" s="65"/>
      <c r="D9" s="65"/>
      <c r="E9" s="65"/>
      <c r="H9" s="65"/>
      <c r="I9" s="66"/>
      <c r="J9" s="66">
        <f>IF($B$11&gt;=3,I11*$B$13,"")</f>
        <v>86.893705540259191</v>
      </c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</row>
    <row r="10" spans="1:25" x14ac:dyDescent="0.25">
      <c r="A10" s="78" t="s">
        <v>12</v>
      </c>
      <c r="B10" s="78">
        <v>65.86</v>
      </c>
      <c r="C10" s="65"/>
      <c r="D10" s="65"/>
      <c r="E10" s="65"/>
      <c r="H10" s="65"/>
      <c r="I10" s="66"/>
      <c r="J10" s="66">
        <f>IF($B$11&gt;=3,IF(IF($B$11=3,J9-$B$10,$B$16*($B$15*K8+$B$17*K12))&gt;0,IF($B$11=3,J9-$B$10,$B$16*($B$15*K8+$B$17*K12)),0),"")</f>
        <v>21.050168482305693</v>
      </c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</row>
    <row r="11" spans="1:25" x14ac:dyDescent="0.25">
      <c r="A11" s="78" t="s">
        <v>103</v>
      </c>
      <c r="B11" s="73">
        <v>4</v>
      </c>
      <c r="C11" s="65"/>
      <c r="D11" s="65"/>
      <c r="E11" s="65"/>
      <c r="H11" s="65"/>
      <c r="I11" s="66">
        <f>IF($B$11&gt;=2,H13*$B$13,"")</f>
        <v>79.225706900348627</v>
      </c>
      <c r="J11" s="66"/>
      <c r="K11" s="66">
        <f>IF($B$11&gt;=4,J13*$B$13,"")</f>
        <v>79.225706900348627</v>
      </c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</row>
    <row r="12" spans="1:25" x14ac:dyDescent="0.25">
      <c r="A12" s="78" t="s">
        <v>98</v>
      </c>
      <c r="B12" s="73">
        <f>B8/B11</f>
        <v>0.25</v>
      </c>
      <c r="C12" s="65"/>
      <c r="D12" s="65"/>
      <c r="E12" s="65"/>
      <c r="H12" s="65"/>
      <c r="I12" s="66">
        <f>IF($B$11&gt;=2,IF(IF($B$11=2,I11-$B$10,$B$16*($B$15*J10+$B$17*J14))&gt;0,IF($B$11=2,I11-$B$10,$B$16*($B$15*J10+$B$17*J14)),0),"")</f>
        <v>13.398628669220544</v>
      </c>
      <c r="J12" s="66"/>
      <c r="K12" s="66">
        <f>IF($B$11&gt;=4,IF(IF($B$11=4,K11-$B$10,$B$16*($B$15*L10+$B$17*L14))&gt;0,IF($B$11=4,K11-$B$10,$B$16*($B$15*L10+$B$17*L14)),0),"")</f>
        <v>13.365706900348627</v>
      </c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</row>
    <row r="13" spans="1:25" x14ac:dyDescent="0.25">
      <c r="A13" s="78" t="s">
        <v>99</v>
      </c>
      <c r="B13" s="73">
        <f>EXP(B6*(SQRT(B12)))</f>
        <v>1.0967867494013717</v>
      </c>
      <c r="C13" s="65"/>
      <c r="D13" s="65"/>
      <c r="E13" s="65"/>
      <c r="H13" s="66">
        <f>IF($B$11&gt;=1,G15*$B$13,"")</f>
        <v>72.234376412361087</v>
      </c>
      <c r="I13" s="66"/>
      <c r="J13" s="66">
        <f>IF($B$11&gt;=3,I15*$B$13,"")</f>
        <v>72.234376412361087</v>
      </c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</row>
    <row r="14" spans="1:25" x14ac:dyDescent="0.25">
      <c r="A14" s="78" t="s">
        <v>100</v>
      </c>
      <c r="B14" s="74">
        <f>1/B13</f>
        <v>0.91175426813444083</v>
      </c>
      <c r="C14" s="65"/>
      <c r="D14" s="65"/>
      <c r="E14" s="65"/>
      <c r="H14" s="66">
        <f>IF($B$11&gt;=1,IF(IF($B$11=1,H13-$B$10,$B$16*($B$15*I12+$B$17*I16))&gt;0,IF($B$11=1,H13-$B$10,$B$16*($B$15*I12+$B$17*I16)),0),"")</f>
        <v>8.0004759713182914</v>
      </c>
      <c r="I14" s="66"/>
      <c r="J14" s="66">
        <f>IF($B$11&gt;=3,IF(IF($B$11=3,J13-$B$10,$B$16*($B$15*K12+$B$17*K16))&gt;0,IF($B$11=3,J13-$B$10,$B$16*($B$15*K12+$B$17*K16)),0),"")</f>
        <v>6.3908393544075865</v>
      </c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</row>
    <row r="15" spans="1:25" x14ac:dyDescent="0.25">
      <c r="A15" s="78" t="s">
        <v>101</v>
      </c>
      <c r="B15" s="72">
        <f>(B18-B14)/(B13-B14)</f>
        <v>0.47827150407445557</v>
      </c>
      <c r="C15" s="65"/>
      <c r="D15" s="65"/>
      <c r="E15" s="65"/>
      <c r="F15" s="70" t="s">
        <v>94</v>
      </c>
      <c r="G15" s="66">
        <f>B5</f>
        <v>65.860000999999997</v>
      </c>
      <c r="H15" s="66"/>
      <c r="I15" s="66">
        <f>IF($B$11&gt;=2,H17*$B$13,"")</f>
        <v>65.860000999999997</v>
      </c>
      <c r="J15" s="66"/>
      <c r="K15" s="66">
        <f>IF($B$11&gt;=4,J17*$B$13,"")</f>
        <v>65.860000999999997</v>
      </c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</row>
    <row r="16" spans="1:25" x14ac:dyDescent="0.25">
      <c r="A16" s="79" t="s">
        <v>92</v>
      </c>
      <c r="B16" s="75">
        <f>EXP(-B9*B12)</f>
        <v>0.99975003124739603</v>
      </c>
      <c r="C16" s="65"/>
      <c r="D16" s="68"/>
      <c r="E16" s="65"/>
      <c r="F16" s="70"/>
      <c r="G16" s="66">
        <f>IF(B16*($B$15*H14+$B$17*H18)&gt;0,B16*($B$15*H14+$B$17*H18),0)</f>
        <v>4.5875675157828928</v>
      </c>
      <c r="H16" s="66"/>
      <c r="I16" s="66">
        <f>IF($B$11&gt;=2,IF(IF($B$11=2,I15-$B$10,$B$16*($B$15*J14+$B$17*J18))&gt;0,IF($B$11=2,I15-$B$10,$B$16*($B$15*J14+$B$17*J18)),0),"")</f>
        <v>3.0557925561557222</v>
      </c>
      <c r="J16" s="66"/>
      <c r="K16" s="66">
        <f>IF($B$11&gt;=4,IF(IF($B$11=4,K15-$B$10,$B$16*($B$15*L14+$B$17*L18))&gt;0,IF($B$11=4,K15-$B$10,$B$16*($B$15*L14+$B$17*L18)),0),"")</f>
        <v>9.9999999747524271E-7</v>
      </c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</row>
    <row r="17" spans="1:25" x14ac:dyDescent="0.25">
      <c r="A17" s="80" t="s">
        <v>102</v>
      </c>
      <c r="B17" s="75">
        <f>1-B15</f>
        <v>0.52172849592554438</v>
      </c>
      <c r="C17" s="65"/>
      <c r="D17" s="65"/>
      <c r="E17" s="65"/>
      <c r="H17" s="66">
        <f>IF($B$11&gt;=1,G15*$B$14,"")</f>
        <v>60.048137011088535</v>
      </c>
      <c r="I17" s="66"/>
      <c r="J17" s="66">
        <f>IF($B$11&gt;=3,I15*$B$14,"")</f>
        <v>60.048137011088535</v>
      </c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</row>
    <row r="18" spans="1:25" x14ac:dyDescent="0.25">
      <c r="A18" s="76" t="s">
        <v>93</v>
      </c>
      <c r="B18" s="81">
        <f>EXP(B9*B12)</f>
        <v>1.0002500312526044</v>
      </c>
      <c r="C18" s="65"/>
      <c r="D18" s="65"/>
      <c r="E18" s="65"/>
      <c r="H18" s="66">
        <f>IF($B$11&gt;=1,IF(IF($B$11=1,H17-$B$10,$B$16*($B$15*I16+$B$17*I20))&gt;0,IF($B$11=1,H17-$B$10,$B$16*($B$15*I16+$B$17*I20)),0),"")</f>
        <v>1.4611332922672495</v>
      </c>
      <c r="I18" s="66"/>
      <c r="J18" s="66">
        <f>IF($B$11&gt;=3,IF(IF($B$11=3,J17-$B$10,$B$16*($B$15*K16+$B$17*K20))&gt;0,IF($B$11=3,J17-$B$10,$B$16*($B$15*K16+$B$17*K20)),0),"")</f>
        <v>4.7815194993595839E-7</v>
      </c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</row>
    <row r="19" spans="1:25" x14ac:dyDescent="0.25">
      <c r="A19" s="65"/>
      <c r="B19" s="69"/>
      <c r="C19" s="65"/>
      <c r="D19" s="65"/>
      <c r="E19" s="65"/>
      <c r="H19" s="65"/>
      <c r="I19" s="66">
        <f>IF($B$11&gt;=2,H17*$B$14,"")</f>
        <v>54.749145213381659</v>
      </c>
      <c r="J19" s="66"/>
      <c r="K19" s="66">
        <f>IF($B$11&gt;=4,J17*$B$14,"")</f>
        <v>54.749145213381659</v>
      </c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</row>
    <row r="20" spans="1:25" x14ac:dyDescent="0.25">
      <c r="A20" s="65"/>
      <c r="B20" s="69"/>
      <c r="C20" s="65"/>
      <c r="D20" s="65"/>
      <c r="E20" s="65"/>
      <c r="H20" s="65"/>
      <c r="I20" s="66">
        <f>IF($B$11&gt;=2,IF(IF($B$11=2,I19-$B$10,$B$16*($B$15*J18+$B$17*J22))&gt;0,IF($B$11=2,I19-$B$10,$B$16*($B$15*J18+$B$17*J22)),0),"")</f>
        <v>2.2862928780479275E-7</v>
      </c>
      <c r="J20" s="66"/>
      <c r="K20" s="66">
        <f>IF($B$11&gt;=4,IF(IF($B$11=4,K19-$B$10,$B$16*($B$15*L18+$B$17*L22))&gt;0,IF($B$11=4,K19-$B$10,$B$16*($B$15*L18+$B$17*L22)),0),"")</f>
        <v>0</v>
      </c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</row>
    <row r="21" spans="1:25" x14ac:dyDescent="0.25">
      <c r="A21" s="65"/>
      <c r="B21" s="69"/>
      <c r="C21" s="65"/>
      <c r="D21" s="65"/>
      <c r="E21" s="65"/>
      <c r="H21" s="65"/>
      <c r="I21" s="66"/>
      <c r="J21" s="66">
        <f>IF($B$11&gt;=3,I19*$B$14,"")</f>
        <v>49.917766825013018</v>
      </c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</row>
    <row r="22" spans="1:25" x14ac:dyDescent="0.25">
      <c r="A22" s="65"/>
      <c r="B22" s="24"/>
      <c r="C22" s="65"/>
      <c r="D22" s="65"/>
      <c r="E22" s="65"/>
      <c r="H22" s="65"/>
      <c r="I22" s="66"/>
      <c r="J22" s="66">
        <f>IF($B$11&gt;=3,IF(IF($B$11=3,J21-$B$10,$B$16*($B$15*K20+$B$17*K24))&gt;0,IF($B$11=3,J21-$B$10,$B$16*($B$15*K20+$B$17*K24)),0),"")</f>
        <v>0</v>
      </c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</row>
    <row r="23" spans="1:25" x14ac:dyDescent="0.25">
      <c r="A23" s="65"/>
      <c r="B23" s="24"/>
      <c r="C23" s="65"/>
      <c r="D23" s="65"/>
      <c r="E23" s="65"/>
      <c r="H23" s="65"/>
      <c r="I23" s="66"/>
      <c r="J23" s="66"/>
      <c r="K23" s="66">
        <f>IF($B$11&gt;=4,J21*$B$14,"")</f>
        <v>45.512736958445416</v>
      </c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</row>
    <row r="24" spans="1:25" x14ac:dyDescent="0.25">
      <c r="A24" s="65"/>
      <c r="B24" s="69"/>
      <c r="C24" s="65"/>
      <c r="D24" s="65"/>
      <c r="E24" s="65"/>
      <c r="H24" s="65"/>
      <c r="I24" s="66"/>
      <c r="J24" s="66"/>
      <c r="K24" s="66">
        <f>IF($B$11&gt;=4,IF(IF($B$11=4,K23-$B$10,$B$16*($B$15*L22+$B$17*L26))&gt;0,IF($B$11=4,K23-$B$10,$B$16*($B$15*L22+$B$17*L26)),0),"")</f>
        <v>0</v>
      </c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</row>
    <row r="25" spans="1:25" x14ac:dyDescent="0.25">
      <c r="A25" s="65"/>
      <c r="B25" s="24"/>
      <c r="C25" s="65"/>
      <c r="D25" s="65"/>
      <c r="H25" s="65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</row>
    <row r="26" spans="1:25" x14ac:dyDescent="0.25">
      <c r="A26" s="65"/>
      <c r="B26" s="24"/>
      <c r="C26" s="65"/>
      <c r="D26" s="65"/>
      <c r="H26" s="65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</row>
    <row r="27" spans="1:25" x14ac:dyDescent="0.25">
      <c r="A27" s="65"/>
      <c r="B27" s="24"/>
      <c r="C27" s="65"/>
      <c r="D27" s="65"/>
      <c r="H27" s="65"/>
      <c r="I27" s="65"/>
      <c r="J27" s="65"/>
      <c r="K27" s="65"/>
      <c r="L27" s="65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</row>
    <row r="28" spans="1:25" x14ac:dyDescent="0.25">
      <c r="A28" s="65"/>
      <c r="B28" s="24"/>
      <c r="C28" s="65"/>
      <c r="D28" s="65"/>
      <c r="H28" s="65"/>
      <c r="I28" s="65"/>
      <c r="J28" s="65"/>
      <c r="K28" s="65"/>
      <c r="L28" s="65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</row>
    <row r="29" spans="1:25" x14ac:dyDescent="0.25">
      <c r="A29" s="65"/>
      <c r="B29" s="24"/>
      <c r="C29" s="65"/>
      <c r="D29" s="65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</row>
    <row r="30" spans="1:25" x14ac:dyDescent="0.25"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</row>
    <row r="31" spans="1:25" x14ac:dyDescent="0.25"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</row>
    <row r="32" spans="1:25" x14ac:dyDescent="0.25"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</row>
    <row r="33" spans="8:25" x14ac:dyDescent="0.25"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</row>
    <row r="34" spans="8:25" x14ac:dyDescent="0.25"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</row>
    <row r="35" spans="8:25" x14ac:dyDescent="0.25"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</row>
    <row r="36" spans="8:25" x14ac:dyDescent="0.25"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</row>
    <row r="37" spans="8:25" x14ac:dyDescent="0.25"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</row>
    <row r="38" spans="8:25" x14ac:dyDescent="0.25"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</row>
    <row r="39" spans="8:25" x14ac:dyDescent="0.25"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</row>
    <row r="40" spans="8:25" x14ac:dyDescent="0.25"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</row>
    <row r="41" spans="8:25" x14ac:dyDescent="0.25"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</row>
    <row r="42" spans="8:25" x14ac:dyDescent="0.25"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</row>
    <row r="43" spans="8:25" x14ac:dyDescent="0.25"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</row>
    <row r="44" spans="8:25" x14ac:dyDescent="0.25"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</row>
    <row r="45" spans="8:25" x14ac:dyDescent="0.25"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</row>
    <row r="46" spans="8:25" x14ac:dyDescent="0.25"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</row>
    <row r="47" spans="8:25" x14ac:dyDescent="0.25"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</row>
    <row r="48" spans="8:25" x14ac:dyDescent="0.25"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</row>
    <row r="49" spans="3:25" x14ac:dyDescent="0.25"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</row>
    <row r="50" spans="3:25" x14ac:dyDescent="0.25"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</row>
    <row r="51" spans="3:25" x14ac:dyDescent="0.25"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</row>
    <row r="52" spans="3:25" x14ac:dyDescent="0.25"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</row>
    <row r="53" spans="3:25" x14ac:dyDescent="0.25"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</row>
    <row r="54" spans="3:25" x14ac:dyDescent="0.25"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</row>
    <row r="55" spans="3:25" x14ac:dyDescent="0.25"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</row>
    <row r="56" spans="3:25" x14ac:dyDescent="0.25">
      <c r="C56" s="65"/>
      <c r="D56" s="65"/>
      <c r="E56" s="65"/>
      <c r="F56" s="65"/>
      <c r="G56" s="65"/>
      <c r="H56" s="65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</row>
    <row r="57" spans="3:25" x14ac:dyDescent="0.25">
      <c r="C57" s="65"/>
      <c r="D57" s="65"/>
      <c r="E57" s="65"/>
      <c r="F57" s="65"/>
      <c r="G57" s="65"/>
      <c r="H57" s="65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</row>
    <row r="58" spans="3:25" x14ac:dyDescent="0.25">
      <c r="C58" s="65"/>
      <c r="D58" s="65"/>
      <c r="E58" s="65"/>
      <c r="F58" s="65"/>
      <c r="G58" s="65"/>
      <c r="H58" s="65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</row>
    <row r="59" spans="3:25" x14ac:dyDescent="0.25">
      <c r="C59" s="65"/>
      <c r="D59" s="65"/>
      <c r="E59" s="65"/>
      <c r="F59" s="65"/>
      <c r="G59" s="65"/>
      <c r="H59" s="65"/>
      <c r="I59" s="65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</row>
    <row r="60" spans="3:25" x14ac:dyDescent="0.25">
      <c r="C60" s="65"/>
      <c r="D60" s="65"/>
      <c r="E60" s="65"/>
      <c r="F60" s="65"/>
      <c r="G60" s="65"/>
      <c r="H60" s="65"/>
      <c r="I60" s="65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</row>
    <row r="61" spans="3:25" x14ac:dyDescent="0.25">
      <c r="C61" s="65"/>
      <c r="D61" s="65"/>
      <c r="E61" s="65"/>
      <c r="F61" s="65"/>
      <c r="G61" s="65"/>
      <c r="H61" s="65"/>
      <c r="I61" s="65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</row>
    <row r="62" spans="3:25" x14ac:dyDescent="0.25">
      <c r="C62" s="65"/>
      <c r="D62" s="65"/>
      <c r="E62" s="65"/>
      <c r="F62" s="65"/>
      <c r="G62" s="65"/>
      <c r="H62" s="65"/>
      <c r="I62" s="65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</row>
    <row r="63" spans="3:25" x14ac:dyDescent="0.25">
      <c r="C63" s="65"/>
      <c r="D63" s="65"/>
      <c r="E63" s="65"/>
      <c r="F63" s="65"/>
      <c r="G63" s="65"/>
      <c r="H63" s="65"/>
      <c r="I63" s="65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</row>
    <row r="64" spans="3:25" x14ac:dyDescent="0.25">
      <c r="C64" s="65"/>
      <c r="D64" s="65"/>
      <c r="E64" s="65"/>
      <c r="F64" s="65"/>
      <c r="G64" s="65"/>
      <c r="H64" s="65"/>
      <c r="I64" s="65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</row>
    <row r="65" spans="3:25" x14ac:dyDescent="0.25">
      <c r="C65" s="65"/>
      <c r="D65" s="65"/>
      <c r="E65" s="65"/>
      <c r="F65" s="65"/>
      <c r="G65" s="65"/>
      <c r="H65" s="65"/>
      <c r="I65" s="65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</row>
    <row r="66" spans="3:25" x14ac:dyDescent="0.25">
      <c r="C66" s="65"/>
      <c r="D66" s="65"/>
      <c r="E66" s="65"/>
      <c r="F66" s="65"/>
      <c r="G66" s="65"/>
      <c r="H66" s="65"/>
      <c r="I66" s="65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</row>
    <row r="67" spans="3:25" x14ac:dyDescent="0.25">
      <c r="C67" s="65"/>
      <c r="D67" s="65"/>
      <c r="E67" s="65"/>
      <c r="F67" s="65"/>
      <c r="G67" s="65"/>
      <c r="H67" s="65"/>
      <c r="I67" s="65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</row>
    <row r="68" spans="3:25" x14ac:dyDescent="0.25">
      <c r="C68" s="65"/>
      <c r="D68" s="65"/>
      <c r="E68" s="65"/>
      <c r="F68" s="65"/>
      <c r="G68" s="65"/>
      <c r="H68" s="65"/>
      <c r="I68" s="65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</row>
    <row r="69" spans="3:25" x14ac:dyDescent="0.25">
      <c r="C69" s="65"/>
      <c r="D69" s="65"/>
      <c r="E69" s="65"/>
      <c r="F69" s="65"/>
      <c r="G69" s="65"/>
      <c r="H69" s="65"/>
      <c r="I69" s="65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</row>
    <row r="70" spans="3:25" x14ac:dyDescent="0.25">
      <c r="C70" s="65"/>
      <c r="D70" s="65"/>
      <c r="E70" s="65"/>
      <c r="F70" s="65"/>
      <c r="G70" s="65"/>
      <c r="H70" s="65"/>
      <c r="I70" s="65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</row>
    <row r="71" spans="3:25" x14ac:dyDescent="0.25">
      <c r="C71" s="65"/>
      <c r="D71" s="65"/>
      <c r="E71" s="65"/>
      <c r="F71" s="65"/>
      <c r="G71" s="65"/>
      <c r="H71" s="65"/>
      <c r="I71" s="65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</row>
    <row r="72" spans="3:25" x14ac:dyDescent="0.25">
      <c r="C72" s="65"/>
      <c r="D72" s="65"/>
      <c r="E72" s="65"/>
      <c r="F72" s="65"/>
      <c r="G72" s="65"/>
      <c r="H72" s="65"/>
      <c r="I72" s="65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</row>
    <row r="73" spans="3:25" x14ac:dyDescent="0.25">
      <c r="C73" s="65"/>
      <c r="D73" s="65"/>
      <c r="E73" s="65"/>
      <c r="F73" s="65"/>
      <c r="G73" s="65"/>
      <c r="H73" s="65"/>
      <c r="I73" s="65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</row>
    <row r="74" spans="3:25" x14ac:dyDescent="0.25">
      <c r="C74" s="65"/>
      <c r="D74" s="65"/>
      <c r="E74" s="65"/>
      <c r="F74" s="65"/>
      <c r="G74" s="65"/>
      <c r="H74" s="65"/>
      <c r="I74" s="65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</row>
    <row r="75" spans="3:25" x14ac:dyDescent="0.25">
      <c r="C75" s="65"/>
      <c r="D75" s="65"/>
      <c r="E75" s="65"/>
      <c r="F75" s="65"/>
      <c r="G75" s="65"/>
      <c r="H75" s="65"/>
      <c r="I75" s="65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</row>
    <row r="76" spans="3:25" x14ac:dyDescent="0.25">
      <c r="C76" s="65"/>
      <c r="D76" s="65"/>
      <c r="E76" s="65"/>
      <c r="F76" s="65"/>
      <c r="G76" s="65"/>
      <c r="H76" s="65"/>
      <c r="I76" s="65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</row>
    <row r="77" spans="3:25" x14ac:dyDescent="0.25">
      <c r="C77" s="65"/>
      <c r="D77" s="65"/>
      <c r="E77" s="65"/>
      <c r="F77" s="65"/>
      <c r="G77" s="65"/>
      <c r="H77" s="65"/>
      <c r="I77" s="65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</row>
    <row r="78" spans="3:25" x14ac:dyDescent="0.25">
      <c r="C78" s="65"/>
      <c r="D78" s="65"/>
      <c r="E78" s="65"/>
      <c r="F78" s="65"/>
      <c r="G78" s="65"/>
      <c r="H78" s="65"/>
      <c r="I78" s="65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</row>
    <row r="79" spans="3:25" x14ac:dyDescent="0.25">
      <c r="C79" s="65"/>
      <c r="D79" s="65"/>
      <c r="E79" s="65"/>
      <c r="F79" s="65"/>
      <c r="G79" s="65"/>
      <c r="H79" s="65"/>
      <c r="I79" s="65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</row>
    <row r="80" spans="3:25" x14ac:dyDescent="0.25">
      <c r="C80" s="65"/>
      <c r="D80" s="65"/>
      <c r="E80" s="65"/>
      <c r="F80" s="65"/>
      <c r="G80" s="65"/>
      <c r="H80" s="65"/>
      <c r="I80" s="65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</row>
    <row r="81" spans="3:25" x14ac:dyDescent="0.25">
      <c r="C81" s="65"/>
      <c r="D81" s="65"/>
      <c r="E81" s="65"/>
      <c r="F81" s="65"/>
      <c r="G81" s="65"/>
      <c r="H81" s="65"/>
      <c r="I81" s="65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</row>
    <row r="82" spans="3:25" x14ac:dyDescent="0.25">
      <c r="C82" s="65"/>
      <c r="D82" s="65"/>
      <c r="E82" s="65"/>
      <c r="F82" s="65"/>
      <c r="G82" s="65"/>
      <c r="H82" s="65"/>
      <c r="I82" s="65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</row>
    <row r="83" spans="3:25" x14ac:dyDescent="0.25">
      <c r="C83" s="65"/>
      <c r="D83" s="65"/>
      <c r="E83" s="65"/>
      <c r="F83" s="65"/>
      <c r="G83" s="65"/>
      <c r="H83" s="65"/>
      <c r="I83" s="65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</row>
    <row r="84" spans="3:25" x14ac:dyDescent="0.25">
      <c r="C84" s="65"/>
      <c r="D84" s="65"/>
      <c r="E84" s="65"/>
      <c r="F84" s="65"/>
      <c r="G84" s="65"/>
      <c r="H84" s="65"/>
      <c r="I84" s="65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</row>
    <row r="85" spans="3:25" x14ac:dyDescent="0.25">
      <c r="C85" s="65"/>
      <c r="D85" s="65"/>
      <c r="E85" s="65"/>
      <c r="F85" s="65"/>
      <c r="G85" s="65"/>
      <c r="H85" s="65"/>
      <c r="I85" s="65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</row>
    <row r="86" spans="3:25" x14ac:dyDescent="0.25">
      <c r="C86" s="65"/>
      <c r="D86" s="65"/>
      <c r="E86" s="65"/>
      <c r="F86" s="65"/>
      <c r="G86" s="65"/>
      <c r="H86" s="65"/>
      <c r="I86" s="65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</row>
    <row r="87" spans="3:25" x14ac:dyDescent="0.25">
      <c r="C87" s="65"/>
      <c r="D87" s="65"/>
      <c r="E87" s="65"/>
      <c r="F87" s="65"/>
      <c r="G87" s="65"/>
      <c r="H87" s="65"/>
      <c r="I87" s="65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</row>
    <row r="88" spans="3:25" x14ac:dyDescent="0.25">
      <c r="C88" s="65"/>
      <c r="D88" s="65"/>
      <c r="E88" s="65"/>
      <c r="F88" s="65"/>
      <c r="G88" s="65"/>
      <c r="H88" s="65"/>
      <c r="I88" s="65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</row>
    <row r="89" spans="3:25" x14ac:dyDescent="0.25">
      <c r="C89" s="65"/>
      <c r="D89" s="65"/>
      <c r="E89" s="65"/>
      <c r="F89" s="65"/>
      <c r="G89" s="65"/>
      <c r="H89" s="65"/>
      <c r="I89" s="65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</row>
    <row r="90" spans="3:25" x14ac:dyDescent="0.25">
      <c r="C90" s="65"/>
      <c r="D90" s="65"/>
      <c r="E90" s="65"/>
      <c r="F90" s="65"/>
      <c r="G90" s="65"/>
      <c r="H90" s="65"/>
      <c r="I90" s="65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</row>
    <row r="91" spans="3:25" x14ac:dyDescent="0.25">
      <c r="C91" s="65"/>
      <c r="D91" s="65"/>
      <c r="E91" s="65"/>
      <c r="F91" s="65"/>
      <c r="G91" s="65"/>
      <c r="H91" s="65"/>
      <c r="I91" s="65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</row>
    <row r="92" spans="3:25" x14ac:dyDescent="0.25">
      <c r="C92" s="65"/>
      <c r="D92" s="65"/>
      <c r="E92" s="65"/>
      <c r="F92" s="65"/>
      <c r="G92" s="65"/>
      <c r="H92" s="65"/>
      <c r="I92" s="65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</row>
    <row r="93" spans="3:25" x14ac:dyDescent="0.25">
      <c r="C93" s="65"/>
      <c r="D93" s="65"/>
      <c r="E93" s="65"/>
      <c r="F93" s="65"/>
      <c r="G93" s="65"/>
      <c r="H93" s="65"/>
      <c r="I93" s="65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</row>
    <row r="94" spans="3:25" x14ac:dyDescent="0.25">
      <c r="C94" s="65"/>
      <c r="D94" s="65"/>
      <c r="E94" s="65"/>
      <c r="F94" s="65"/>
      <c r="G94" s="65"/>
      <c r="H94" s="65"/>
      <c r="I94" s="65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</row>
    <row r="95" spans="3:25" x14ac:dyDescent="0.25">
      <c r="C95" s="65"/>
      <c r="D95" s="65"/>
      <c r="E95" s="65"/>
      <c r="F95" s="65"/>
      <c r="G95" s="65"/>
      <c r="H95" s="65"/>
      <c r="I95" s="65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</row>
    <row r="96" spans="3:25" x14ac:dyDescent="0.25">
      <c r="C96" s="65"/>
      <c r="D96" s="65"/>
      <c r="E96" s="65"/>
      <c r="F96" s="65"/>
      <c r="G96" s="65"/>
      <c r="H96" s="65"/>
      <c r="I96" s="65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</row>
    <row r="97" spans="3:25" x14ac:dyDescent="0.25">
      <c r="C97" s="65"/>
      <c r="D97" s="65"/>
      <c r="E97" s="65"/>
      <c r="F97" s="65"/>
      <c r="G97" s="65"/>
      <c r="H97" s="65"/>
      <c r="I97" s="65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</row>
    <row r="98" spans="3:25" x14ac:dyDescent="0.25">
      <c r="C98" s="65"/>
      <c r="D98" s="65"/>
      <c r="E98" s="65"/>
      <c r="F98" s="65"/>
      <c r="G98" s="65"/>
      <c r="H98" s="65"/>
      <c r="I98" s="65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</row>
    <row r="99" spans="3:25" x14ac:dyDescent="0.25">
      <c r="C99" s="65"/>
      <c r="D99" s="65"/>
      <c r="E99" s="65"/>
      <c r="F99" s="65"/>
      <c r="G99" s="65"/>
      <c r="H99" s="65"/>
      <c r="I99" s="65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</row>
    <row r="100" spans="3:25" x14ac:dyDescent="0.25">
      <c r="C100" s="65"/>
      <c r="D100" s="65"/>
      <c r="E100" s="65"/>
      <c r="F100" s="65"/>
      <c r="G100" s="65"/>
      <c r="H100" s="65"/>
      <c r="I100" s="65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</row>
    <row r="101" spans="3:25" x14ac:dyDescent="0.25">
      <c r="C101" s="65"/>
      <c r="D101" s="65"/>
      <c r="E101" s="65"/>
      <c r="F101" s="65"/>
      <c r="G101" s="65"/>
      <c r="H101" s="65"/>
      <c r="I101" s="65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</row>
    <row r="102" spans="3:25" x14ac:dyDescent="0.25">
      <c r="C102" s="65"/>
      <c r="D102" s="65"/>
      <c r="E102" s="65"/>
      <c r="F102" s="65"/>
      <c r="G102" s="65"/>
      <c r="H102" s="65"/>
      <c r="I102" s="65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</row>
    <row r="103" spans="3:25" x14ac:dyDescent="0.25">
      <c r="C103" s="65"/>
      <c r="D103" s="65"/>
      <c r="E103" s="65"/>
      <c r="F103" s="65"/>
      <c r="G103" s="65"/>
      <c r="H103" s="65"/>
      <c r="I103" s="65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</row>
    <row r="104" spans="3:25" x14ac:dyDescent="0.25">
      <c r="C104" s="65"/>
      <c r="D104" s="65"/>
      <c r="E104" s="65"/>
      <c r="F104" s="65"/>
      <c r="G104" s="65"/>
      <c r="H104" s="65"/>
      <c r="I104" s="65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</row>
    <row r="105" spans="3:25" x14ac:dyDescent="0.25">
      <c r="C105" s="65"/>
      <c r="D105" s="65"/>
      <c r="E105" s="65"/>
      <c r="F105" s="65"/>
      <c r="G105" s="65"/>
      <c r="H105" s="65"/>
      <c r="I105" s="65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</row>
    <row r="106" spans="3:25" x14ac:dyDescent="0.25">
      <c r="C106" s="65"/>
      <c r="D106" s="65"/>
      <c r="E106" s="65"/>
      <c r="F106" s="65"/>
      <c r="G106" s="65"/>
      <c r="H106" s="65"/>
      <c r="I106" s="65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</row>
    <row r="107" spans="3:25" x14ac:dyDescent="0.25">
      <c r="C107" s="65"/>
      <c r="D107" s="65"/>
      <c r="E107" s="65"/>
      <c r="F107" s="65"/>
      <c r="G107" s="65"/>
      <c r="H107" s="65"/>
      <c r="I107" s="65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</row>
    <row r="108" spans="3:25" x14ac:dyDescent="0.25">
      <c r="C108" s="65"/>
      <c r="D108" s="65"/>
      <c r="E108" s="65"/>
      <c r="F108" s="65"/>
      <c r="G108" s="65"/>
      <c r="H108" s="65"/>
      <c r="I108" s="65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</row>
    <row r="109" spans="3:25" x14ac:dyDescent="0.25">
      <c r="C109" s="65"/>
      <c r="D109" s="65"/>
      <c r="E109" s="65"/>
      <c r="F109" s="65"/>
      <c r="G109" s="65"/>
      <c r="H109" s="65"/>
      <c r="I109" s="65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</row>
    <row r="110" spans="3:25" x14ac:dyDescent="0.25">
      <c r="C110" s="65"/>
      <c r="D110" s="65"/>
      <c r="E110" s="65"/>
      <c r="F110" s="65"/>
      <c r="G110" s="65"/>
      <c r="H110" s="65"/>
      <c r="I110" s="65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</row>
    <row r="111" spans="3:25" x14ac:dyDescent="0.25">
      <c r="C111" s="65"/>
      <c r="D111" s="65"/>
      <c r="E111" s="65"/>
      <c r="F111" s="65"/>
      <c r="G111" s="65"/>
      <c r="H111" s="65"/>
      <c r="I111" s="65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</row>
    <row r="112" spans="3:25" x14ac:dyDescent="0.25">
      <c r="C112" s="65"/>
      <c r="D112" s="65"/>
      <c r="E112" s="65"/>
      <c r="F112" s="65"/>
      <c r="G112" s="65"/>
      <c r="H112" s="65"/>
      <c r="I112" s="65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</row>
    <row r="113" spans="3:25" x14ac:dyDescent="0.25">
      <c r="C113" s="65"/>
      <c r="D113" s="65"/>
      <c r="E113" s="65"/>
      <c r="F113" s="65"/>
      <c r="G113" s="65"/>
      <c r="H113" s="65"/>
      <c r="I113" s="65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</row>
    <row r="114" spans="3:25" x14ac:dyDescent="0.25">
      <c r="C114" s="65"/>
      <c r="D114" s="65"/>
      <c r="E114" s="65"/>
      <c r="F114" s="65"/>
      <c r="G114" s="65"/>
      <c r="H114" s="65"/>
      <c r="I114" s="65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</row>
    <row r="115" spans="3:25" x14ac:dyDescent="0.25">
      <c r="C115" s="65"/>
      <c r="D115" s="65"/>
      <c r="E115" s="65"/>
      <c r="F115" s="65"/>
      <c r="G115" s="65"/>
      <c r="H115" s="65"/>
      <c r="I115" s="65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</row>
    <row r="116" spans="3:25" x14ac:dyDescent="0.25">
      <c r="C116" s="65"/>
      <c r="D116" s="65"/>
      <c r="E116" s="65"/>
      <c r="F116" s="65"/>
      <c r="G116" s="65"/>
      <c r="H116" s="65"/>
      <c r="I116" s="65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</row>
    <row r="117" spans="3:25" x14ac:dyDescent="0.25">
      <c r="C117" s="65"/>
      <c r="D117" s="65"/>
      <c r="E117" s="65"/>
      <c r="F117" s="65"/>
      <c r="G117" s="65"/>
      <c r="H117" s="65"/>
      <c r="I117" s="65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</row>
    <row r="118" spans="3:25" x14ac:dyDescent="0.25">
      <c r="C118" s="65"/>
      <c r="D118" s="65"/>
      <c r="E118" s="65"/>
      <c r="F118" s="65"/>
      <c r="G118" s="65"/>
      <c r="H118" s="65"/>
      <c r="I118" s="65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</row>
    <row r="119" spans="3:25" x14ac:dyDescent="0.25">
      <c r="C119" s="65"/>
      <c r="D119" s="65"/>
      <c r="E119" s="65"/>
      <c r="F119" s="65"/>
      <c r="G119" s="65"/>
      <c r="H119" s="65"/>
      <c r="I119" s="65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</row>
    <row r="120" spans="3:25" x14ac:dyDescent="0.25">
      <c r="C120" s="65"/>
      <c r="D120" s="65"/>
      <c r="E120" s="65"/>
      <c r="F120" s="65"/>
      <c r="G120" s="65"/>
      <c r="H120" s="65"/>
      <c r="I120" s="65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</row>
    <row r="121" spans="3:25" x14ac:dyDescent="0.25">
      <c r="C121" s="65"/>
      <c r="D121" s="65"/>
      <c r="E121" s="65"/>
      <c r="F121" s="65"/>
      <c r="G121" s="65"/>
      <c r="H121" s="65"/>
      <c r="I121" s="65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</row>
    <row r="122" spans="3:25" x14ac:dyDescent="0.25">
      <c r="C122" s="65"/>
      <c r="D122" s="65"/>
      <c r="E122" s="65"/>
      <c r="F122" s="65"/>
      <c r="G122" s="65"/>
      <c r="H122" s="65"/>
      <c r="I122" s="65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</row>
    <row r="123" spans="3:25" x14ac:dyDescent="0.25">
      <c r="C123" s="65"/>
      <c r="D123" s="65"/>
      <c r="E123" s="65"/>
      <c r="F123" s="65"/>
      <c r="G123" s="65"/>
      <c r="H123" s="65"/>
      <c r="I123" s="65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</row>
    <row r="124" spans="3:25" x14ac:dyDescent="0.25">
      <c r="C124" s="65"/>
      <c r="D124" s="65"/>
      <c r="E124" s="65"/>
      <c r="F124" s="65"/>
      <c r="G124" s="65"/>
      <c r="H124" s="65"/>
      <c r="I124" s="65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</row>
    <row r="125" spans="3:25" x14ac:dyDescent="0.25">
      <c r="C125" s="65"/>
      <c r="D125" s="65"/>
      <c r="E125" s="65"/>
      <c r="F125" s="65"/>
      <c r="G125" s="65"/>
      <c r="H125" s="65"/>
      <c r="I125" s="65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</row>
    <row r="126" spans="3:25" x14ac:dyDescent="0.25">
      <c r="C126" s="65"/>
      <c r="D126" s="65"/>
      <c r="E126" s="65"/>
      <c r="F126" s="65"/>
      <c r="G126" s="65"/>
      <c r="H126" s="65"/>
      <c r="I126" s="65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</row>
    <row r="127" spans="3:25" x14ac:dyDescent="0.25">
      <c r="C127" s="65"/>
      <c r="D127" s="65"/>
      <c r="E127" s="65"/>
      <c r="F127" s="65"/>
      <c r="G127" s="65"/>
      <c r="H127" s="65"/>
      <c r="I127" s="65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</row>
    <row r="128" spans="3:25" x14ac:dyDescent="0.25">
      <c r="C128" s="65"/>
      <c r="D128" s="65"/>
      <c r="E128" s="65"/>
      <c r="F128" s="65"/>
      <c r="G128" s="65"/>
      <c r="H128" s="65"/>
      <c r="I128" s="65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</row>
    <row r="129" spans="3:25" x14ac:dyDescent="0.25">
      <c r="C129" s="65"/>
      <c r="D129" s="65"/>
      <c r="E129" s="65"/>
      <c r="F129" s="65"/>
      <c r="G129" s="65"/>
      <c r="H129" s="65"/>
      <c r="I129" s="65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</row>
    <row r="130" spans="3:25" x14ac:dyDescent="0.25">
      <c r="C130" s="65"/>
      <c r="D130" s="65"/>
      <c r="E130" s="65"/>
      <c r="F130" s="65"/>
      <c r="G130" s="65"/>
      <c r="H130" s="65"/>
      <c r="I130" s="65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</row>
    <row r="131" spans="3:25" x14ac:dyDescent="0.25">
      <c r="C131" s="65"/>
      <c r="D131" s="65"/>
      <c r="E131" s="65"/>
      <c r="F131" s="65"/>
      <c r="G131" s="65"/>
      <c r="H131" s="65"/>
      <c r="I131" s="65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</row>
    <row r="132" spans="3:25" x14ac:dyDescent="0.25">
      <c r="C132" s="65"/>
      <c r="D132" s="65"/>
      <c r="E132" s="65"/>
      <c r="F132" s="65"/>
      <c r="G132" s="65"/>
      <c r="H132" s="65"/>
      <c r="I132" s="65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</row>
    <row r="133" spans="3:25" x14ac:dyDescent="0.25">
      <c r="C133" s="65"/>
      <c r="D133" s="65"/>
      <c r="E133" s="65"/>
      <c r="F133" s="65"/>
      <c r="G133" s="65"/>
      <c r="H133" s="65"/>
      <c r="I133" s="65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</row>
    <row r="134" spans="3:25" x14ac:dyDescent="0.25">
      <c r="C134" s="65"/>
      <c r="D134" s="65"/>
      <c r="E134" s="65"/>
      <c r="F134" s="65"/>
      <c r="G134" s="65"/>
      <c r="H134" s="65"/>
      <c r="I134" s="65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</row>
    <row r="135" spans="3:25" x14ac:dyDescent="0.25">
      <c r="C135" s="65"/>
      <c r="D135" s="65"/>
      <c r="E135" s="65"/>
      <c r="F135" s="65"/>
      <c r="G135" s="65"/>
      <c r="H135" s="65"/>
      <c r="I135" s="65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</row>
    <row r="136" spans="3:25" x14ac:dyDescent="0.25">
      <c r="C136" s="65"/>
      <c r="D136" s="65"/>
      <c r="E136" s="65"/>
      <c r="F136" s="65"/>
      <c r="G136" s="65"/>
      <c r="H136" s="65"/>
      <c r="I136" s="65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</row>
    <row r="137" spans="3:25" x14ac:dyDescent="0.25">
      <c r="C137" s="65"/>
      <c r="D137" s="65"/>
      <c r="E137" s="65"/>
      <c r="F137" s="65"/>
      <c r="G137" s="65"/>
      <c r="H137" s="65"/>
      <c r="I137" s="65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</row>
    <row r="138" spans="3:25" x14ac:dyDescent="0.25">
      <c r="C138" s="65"/>
      <c r="D138" s="65"/>
      <c r="E138" s="65"/>
      <c r="F138" s="65"/>
      <c r="G138" s="65"/>
      <c r="H138" s="65"/>
      <c r="I138" s="65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</row>
    <row r="139" spans="3:25" x14ac:dyDescent="0.25">
      <c r="C139" s="65"/>
      <c r="D139" s="65"/>
      <c r="E139" s="65"/>
      <c r="F139" s="65"/>
      <c r="G139" s="65"/>
      <c r="H139" s="65"/>
      <c r="I139" s="65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</row>
    <row r="140" spans="3:25" x14ac:dyDescent="0.25">
      <c r="C140" s="65"/>
      <c r="D140" s="65"/>
      <c r="E140" s="65"/>
      <c r="F140" s="65"/>
      <c r="G140" s="65"/>
      <c r="H140" s="65"/>
      <c r="I140" s="65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</row>
    <row r="141" spans="3:25" x14ac:dyDescent="0.25">
      <c r="C141" s="65"/>
      <c r="D141" s="65"/>
      <c r="E141" s="65"/>
      <c r="F141" s="65"/>
      <c r="G141" s="65"/>
      <c r="H141" s="65"/>
      <c r="I141" s="65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</row>
    <row r="142" spans="3:25" x14ac:dyDescent="0.25">
      <c r="C142" s="65"/>
      <c r="D142" s="65"/>
      <c r="E142" s="65"/>
      <c r="F142" s="65"/>
      <c r="G142" s="65"/>
      <c r="H142" s="65"/>
      <c r="I142" s="65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</row>
    <row r="143" spans="3:25" x14ac:dyDescent="0.25">
      <c r="C143" s="65"/>
      <c r="D143" s="65"/>
      <c r="E143" s="65"/>
      <c r="F143" s="65"/>
      <c r="G143" s="65"/>
      <c r="H143" s="65"/>
      <c r="I143" s="65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</row>
    <row r="144" spans="3:25" x14ac:dyDescent="0.25">
      <c r="C144" s="65"/>
      <c r="D144" s="65"/>
      <c r="E144" s="65"/>
      <c r="F144" s="65"/>
      <c r="G144" s="65"/>
      <c r="H144" s="65"/>
      <c r="I144" s="65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</row>
    <row r="145" spans="3:25" x14ac:dyDescent="0.25">
      <c r="C145" s="65"/>
      <c r="D145" s="65"/>
      <c r="E145" s="65"/>
      <c r="F145" s="65"/>
      <c r="G145" s="65"/>
      <c r="H145" s="65"/>
      <c r="I145" s="65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</row>
    <row r="146" spans="3:25" x14ac:dyDescent="0.25">
      <c r="C146" s="65"/>
      <c r="D146" s="65"/>
      <c r="E146" s="65"/>
      <c r="F146" s="65"/>
      <c r="G146" s="65"/>
      <c r="H146" s="65"/>
      <c r="I146" s="65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</row>
    <row r="147" spans="3:25" x14ac:dyDescent="0.25">
      <c r="C147" s="65"/>
      <c r="D147" s="65"/>
      <c r="E147" s="65"/>
      <c r="F147" s="65"/>
      <c r="G147" s="65"/>
      <c r="H147" s="65"/>
      <c r="I147" s="65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</row>
    <row r="148" spans="3:25" x14ac:dyDescent="0.25">
      <c r="C148" s="65"/>
      <c r="D148" s="65"/>
      <c r="E148" s="65"/>
      <c r="F148" s="65"/>
      <c r="G148" s="65"/>
      <c r="H148" s="65"/>
      <c r="I148" s="65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</row>
    <row r="149" spans="3:25" x14ac:dyDescent="0.25">
      <c r="C149" s="65"/>
      <c r="D149" s="65"/>
      <c r="E149" s="65"/>
      <c r="F149" s="65"/>
      <c r="G149" s="65"/>
      <c r="H149" s="65"/>
      <c r="I149" s="65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</row>
    <row r="150" spans="3:25" x14ac:dyDescent="0.25">
      <c r="C150" s="65"/>
      <c r="D150" s="65"/>
      <c r="E150" s="65"/>
      <c r="F150" s="65"/>
      <c r="G150" s="65"/>
      <c r="H150" s="65"/>
      <c r="I150" s="65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</row>
    <row r="151" spans="3:25" x14ac:dyDescent="0.25">
      <c r="C151" s="65"/>
      <c r="D151" s="65"/>
      <c r="E151" s="65"/>
      <c r="F151" s="65"/>
      <c r="G151" s="65"/>
      <c r="H151" s="65"/>
      <c r="I151" s="65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</row>
    <row r="152" spans="3:25" x14ac:dyDescent="0.25">
      <c r="C152" s="65"/>
      <c r="D152" s="65"/>
      <c r="E152" s="65"/>
      <c r="F152" s="65"/>
      <c r="G152" s="65"/>
      <c r="H152" s="65"/>
      <c r="I152" s="65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</row>
    <row r="153" spans="3:25" x14ac:dyDescent="0.25">
      <c r="C153" s="65"/>
      <c r="D153" s="65"/>
      <c r="E153" s="65"/>
      <c r="F153" s="65"/>
      <c r="G153" s="65"/>
      <c r="H153" s="65"/>
      <c r="I153" s="65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</row>
    <row r="154" spans="3:25" x14ac:dyDescent="0.25">
      <c r="C154" s="65"/>
      <c r="D154" s="65"/>
      <c r="E154" s="65"/>
      <c r="F154" s="65"/>
      <c r="G154" s="65"/>
      <c r="H154" s="65"/>
      <c r="I154" s="65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</row>
    <row r="155" spans="3:25" x14ac:dyDescent="0.25">
      <c r="C155" s="65"/>
      <c r="D155" s="65"/>
      <c r="E155" s="65"/>
      <c r="F155" s="65"/>
      <c r="G155" s="65"/>
      <c r="H155" s="65"/>
      <c r="I155" s="65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</row>
    <row r="156" spans="3:25" x14ac:dyDescent="0.25">
      <c r="C156" s="65"/>
      <c r="D156" s="65"/>
      <c r="E156" s="65"/>
      <c r="F156" s="65"/>
      <c r="G156" s="65"/>
      <c r="H156" s="65"/>
      <c r="I156" s="65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</row>
    <row r="157" spans="3:25" x14ac:dyDescent="0.25">
      <c r="C157" s="65"/>
      <c r="D157" s="65"/>
      <c r="E157" s="65"/>
      <c r="F157" s="65"/>
      <c r="G157" s="65"/>
      <c r="H157" s="65"/>
      <c r="I157" s="65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</row>
    <row r="158" spans="3:25" x14ac:dyDescent="0.25">
      <c r="C158" s="65"/>
      <c r="D158" s="65"/>
      <c r="E158" s="65"/>
      <c r="F158" s="65"/>
      <c r="G158" s="65"/>
      <c r="H158" s="65"/>
      <c r="I158" s="65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</row>
    <row r="159" spans="3:25" x14ac:dyDescent="0.25">
      <c r="C159" s="65"/>
      <c r="D159" s="65"/>
      <c r="E159" s="65"/>
      <c r="F159" s="65"/>
      <c r="G159" s="65"/>
      <c r="H159" s="65"/>
      <c r="I159" s="65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</row>
    <row r="160" spans="3:25" x14ac:dyDescent="0.25">
      <c r="C160" s="65"/>
      <c r="D160" s="65"/>
      <c r="E160" s="65"/>
      <c r="F160" s="65"/>
      <c r="G160" s="65"/>
      <c r="H160" s="65"/>
      <c r="I160" s="65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</row>
    <row r="161" spans="10:25" x14ac:dyDescent="0.25"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66"/>
      <c r="X161" s="66"/>
      <c r="Y161" s="66"/>
    </row>
    <row r="162" spans="10:25" x14ac:dyDescent="0.25"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66"/>
      <c r="X162" s="66"/>
      <c r="Y162" s="66"/>
    </row>
    <row r="163" spans="10:25" x14ac:dyDescent="0.25"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66"/>
      <c r="X163" s="66"/>
      <c r="Y163" s="66"/>
    </row>
    <row r="164" spans="10:25" x14ac:dyDescent="0.25"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66"/>
      <c r="X164" s="66"/>
      <c r="Y164" s="66"/>
    </row>
    <row r="165" spans="10:25" x14ac:dyDescent="0.25"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66"/>
      <c r="X165" s="66"/>
      <c r="Y165" s="66"/>
    </row>
    <row r="166" spans="10:25" x14ac:dyDescent="0.25"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66"/>
      <c r="X166" s="66"/>
      <c r="Y166" s="66"/>
    </row>
    <row r="167" spans="10:25" x14ac:dyDescent="0.25"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66"/>
      <c r="X167" s="66"/>
      <c r="Y167" s="66"/>
    </row>
    <row r="168" spans="10:25" x14ac:dyDescent="0.25"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66"/>
      <c r="X168" s="66"/>
      <c r="Y168" s="66"/>
    </row>
    <row r="169" spans="10:25" x14ac:dyDescent="0.25"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66"/>
      <c r="X169" s="66"/>
      <c r="Y169" s="66"/>
    </row>
    <row r="170" spans="10:25" x14ac:dyDescent="0.25"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66"/>
      <c r="X170" s="66"/>
      <c r="Y170" s="66"/>
    </row>
    <row r="171" spans="10:25" x14ac:dyDescent="0.25"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66"/>
      <c r="X171" s="66"/>
      <c r="Y171" s="66"/>
    </row>
    <row r="172" spans="10:25" x14ac:dyDescent="0.25"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66"/>
      <c r="X172" s="66"/>
      <c r="Y172" s="66"/>
    </row>
    <row r="173" spans="10:25" x14ac:dyDescent="0.25"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66"/>
      <c r="X173" s="66"/>
      <c r="Y173" s="66"/>
    </row>
    <row r="174" spans="10:25" x14ac:dyDescent="0.25"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66"/>
      <c r="X174" s="66"/>
      <c r="Y174" s="66"/>
    </row>
    <row r="175" spans="10:25" x14ac:dyDescent="0.25"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66"/>
      <c r="X175" s="66"/>
      <c r="Y175" s="66"/>
    </row>
    <row r="176" spans="10:25" x14ac:dyDescent="0.25"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66"/>
      <c r="X176" s="66"/>
      <c r="Y176" s="66"/>
    </row>
    <row r="177" spans="10:25" x14ac:dyDescent="0.25"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66"/>
      <c r="X177" s="66"/>
      <c r="Y177" s="66"/>
    </row>
    <row r="178" spans="10:25" x14ac:dyDescent="0.25"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66"/>
      <c r="X178" s="66"/>
      <c r="Y178" s="66"/>
    </row>
    <row r="179" spans="10:25" x14ac:dyDescent="0.25"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66"/>
      <c r="X179" s="66"/>
      <c r="Y179" s="66"/>
    </row>
    <row r="180" spans="10:25" x14ac:dyDescent="0.25"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66"/>
      <c r="X180" s="66"/>
      <c r="Y180" s="66"/>
    </row>
    <row r="181" spans="10:25" x14ac:dyDescent="0.25"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66"/>
      <c r="X181" s="66"/>
      <c r="Y181" s="66"/>
    </row>
    <row r="182" spans="10:25" x14ac:dyDescent="0.25"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66"/>
      <c r="X182" s="66"/>
      <c r="Y182" s="66"/>
    </row>
    <row r="183" spans="10:25" x14ac:dyDescent="0.25"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66"/>
      <c r="X183" s="66"/>
      <c r="Y183" s="66"/>
    </row>
    <row r="184" spans="10:25" x14ac:dyDescent="0.25"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66"/>
      <c r="X184" s="66"/>
      <c r="Y184" s="66"/>
    </row>
    <row r="185" spans="10:25" x14ac:dyDescent="0.25"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66"/>
      <c r="X185" s="66"/>
      <c r="Y185" s="66"/>
    </row>
    <row r="186" spans="10:25" x14ac:dyDescent="0.25"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66"/>
      <c r="X186" s="66"/>
      <c r="Y186" s="66"/>
    </row>
    <row r="187" spans="10:25" x14ac:dyDescent="0.25"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66"/>
      <c r="X187" s="66"/>
      <c r="Y187" s="66"/>
    </row>
    <row r="188" spans="10:25" x14ac:dyDescent="0.25"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66"/>
      <c r="X188" s="66"/>
      <c r="Y188" s="66"/>
    </row>
    <row r="189" spans="10:25" x14ac:dyDescent="0.25"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66"/>
      <c r="X189" s="66"/>
      <c r="Y189" s="66"/>
    </row>
    <row r="190" spans="10:25" x14ac:dyDescent="0.25"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66"/>
      <c r="X190" s="66"/>
      <c r="Y190" s="66"/>
    </row>
    <row r="191" spans="10:25" x14ac:dyDescent="0.25"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66"/>
      <c r="X191" s="66"/>
      <c r="Y191" s="66"/>
    </row>
    <row r="192" spans="10:25" x14ac:dyDescent="0.25"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66"/>
      <c r="X192" s="66"/>
      <c r="Y192" s="66"/>
    </row>
    <row r="193" spans="10:25" x14ac:dyDescent="0.25"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66"/>
      <c r="X193" s="66"/>
      <c r="Y193" s="66"/>
    </row>
    <row r="194" spans="10:25" x14ac:dyDescent="0.25"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66"/>
      <c r="X194" s="66"/>
      <c r="Y194" s="66"/>
    </row>
    <row r="195" spans="10:25" x14ac:dyDescent="0.25"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66"/>
      <c r="X195" s="66"/>
      <c r="Y195" s="66"/>
    </row>
    <row r="196" spans="10:25" x14ac:dyDescent="0.25"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66"/>
      <c r="X196" s="66"/>
      <c r="Y196" s="66"/>
    </row>
    <row r="197" spans="10:25" x14ac:dyDescent="0.25"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66"/>
      <c r="X197" s="66"/>
      <c r="Y197" s="66"/>
    </row>
    <row r="198" spans="10:25" x14ac:dyDescent="0.25"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66"/>
      <c r="X198" s="66"/>
      <c r="Y198" s="66"/>
    </row>
    <row r="199" spans="10:25" x14ac:dyDescent="0.25"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66"/>
      <c r="X199" s="66"/>
      <c r="Y199" s="66"/>
    </row>
    <row r="200" spans="10:25" x14ac:dyDescent="0.25"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66"/>
      <c r="X200" s="66"/>
      <c r="Y200" s="66"/>
    </row>
    <row r="201" spans="10:25" x14ac:dyDescent="0.25"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66"/>
      <c r="X201" s="66"/>
      <c r="Y201" s="66"/>
    </row>
    <row r="202" spans="10:25" x14ac:dyDescent="0.25"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66"/>
      <c r="X202" s="66"/>
      <c r="Y202" s="66"/>
    </row>
    <row r="203" spans="10:25" x14ac:dyDescent="0.25"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66"/>
      <c r="X203" s="66"/>
      <c r="Y203" s="66"/>
    </row>
    <row r="204" spans="10:25" x14ac:dyDescent="0.25"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66"/>
      <c r="X204" s="66"/>
      <c r="Y204" s="66"/>
    </row>
    <row r="205" spans="10:25" x14ac:dyDescent="0.25"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66"/>
      <c r="X205" s="66"/>
      <c r="Y205" s="66"/>
    </row>
    <row r="206" spans="10:25" x14ac:dyDescent="0.25"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66"/>
      <c r="X206" s="66"/>
      <c r="Y206" s="66"/>
    </row>
    <row r="207" spans="10:25" x14ac:dyDescent="0.25"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66"/>
      <c r="X207" s="66"/>
      <c r="Y207" s="66"/>
    </row>
    <row r="208" spans="10:25" x14ac:dyDescent="0.25"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66"/>
      <c r="X208" s="66"/>
      <c r="Y208" s="66"/>
    </row>
    <row r="209" spans="10:25" x14ac:dyDescent="0.25"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66"/>
      <c r="X209" s="66"/>
      <c r="Y209" s="66"/>
    </row>
    <row r="210" spans="10:25" x14ac:dyDescent="0.25"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66"/>
      <c r="X210" s="66"/>
      <c r="Y210" s="66"/>
    </row>
    <row r="211" spans="10:25" x14ac:dyDescent="0.25"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66"/>
      <c r="X211" s="66"/>
      <c r="Y211" s="66"/>
    </row>
    <row r="212" spans="10:25" x14ac:dyDescent="0.25"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66"/>
      <c r="X212" s="66"/>
      <c r="Y212" s="66"/>
    </row>
    <row r="213" spans="10:25" x14ac:dyDescent="0.25"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66"/>
      <c r="X213" s="66"/>
      <c r="Y213" s="66"/>
    </row>
    <row r="214" spans="10:25" x14ac:dyDescent="0.25"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66"/>
      <c r="X214" s="66"/>
      <c r="Y214" s="66"/>
    </row>
    <row r="215" spans="10:25" x14ac:dyDescent="0.25"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66"/>
      <c r="X215" s="66"/>
      <c r="Y215" s="66"/>
    </row>
    <row r="216" spans="10:25" x14ac:dyDescent="0.25"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66"/>
      <c r="X216" s="66"/>
      <c r="Y216" s="66"/>
    </row>
    <row r="217" spans="10:25" x14ac:dyDescent="0.25"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66"/>
      <c r="X217" s="66"/>
      <c r="Y217" s="66"/>
    </row>
    <row r="218" spans="10:25" x14ac:dyDescent="0.25"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66"/>
      <c r="X218" s="66"/>
      <c r="Y218" s="66"/>
    </row>
    <row r="219" spans="10:25" x14ac:dyDescent="0.25"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66"/>
      <c r="X219" s="66"/>
      <c r="Y219" s="66"/>
    </row>
    <row r="220" spans="10:25" x14ac:dyDescent="0.25"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66"/>
      <c r="X220" s="66"/>
      <c r="Y220" s="66"/>
    </row>
    <row r="221" spans="10:25" x14ac:dyDescent="0.25"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66"/>
      <c r="X221" s="66"/>
      <c r="Y221" s="66"/>
    </row>
    <row r="222" spans="10:25" x14ac:dyDescent="0.25"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66"/>
      <c r="X222" s="66"/>
      <c r="Y222" s="66"/>
    </row>
    <row r="223" spans="10:25" x14ac:dyDescent="0.25"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66"/>
      <c r="X223" s="66"/>
      <c r="Y223" s="66"/>
    </row>
    <row r="224" spans="10:25" x14ac:dyDescent="0.25"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66"/>
      <c r="X224" s="66"/>
      <c r="Y224" s="66"/>
    </row>
    <row r="225" spans="10:25" x14ac:dyDescent="0.25"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66"/>
      <c r="X225" s="66"/>
      <c r="Y225" s="66"/>
    </row>
    <row r="226" spans="10:25" x14ac:dyDescent="0.25"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66"/>
      <c r="X226" s="66"/>
      <c r="Y226" s="66"/>
    </row>
    <row r="227" spans="10:25" x14ac:dyDescent="0.25"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66"/>
      <c r="X227" s="66"/>
      <c r="Y227" s="66"/>
    </row>
    <row r="228" spans="10:25" x14ac:dyDescent="0.25"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66"/>
      <c r="X228" s="66"/>
      <c r="Y228" s="66"/>
    </row>
    <row r="229" spans="10:25" x14ac:dyDescent="0.25"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66"/>
      <c r="X229" s="66"/>
      <c r="Y229" s="66"/>
    </row>
    <row r="230" spans="10:25" x14ac:dyDescent="0.25"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66"/>
      <c r="X230" s="66"/>
      <c r="Y230" s="66"/>
    </row>
    <row r="231" spans="10:25" x14ac:dyDescent="0.25"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66"/>
      <c r="X231" s="66"/>
      <c r="Y231" s="66"/>
    </row>
    <row r="232" spans="10:25" x14ac:dyDescent="0.25"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66"/>
      <c r="X232" s="66"/>
      <c r="Y232" s="66"/>
    </row>
    <row r="233" spans="10:25" x14ac:dyDescent="0.25"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66"/>
      <c r="X233" s="66"/>
      <c r="Y233" s="66"/>
    </row>
    <row r="234" spans="10:25" x14ac:dyDescent="0.25"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66"/>
      <c r="X234" s="66"/>
      <c r="Y234" s="66"/>
    </row>
    <row r="235" spans="10:25" x14ac:dyDescent="0.25"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66"/>
      <c r="X235" s="66"/>
      <c r="Y235" s="66"/>
    </row>
    <row r="236" spans="10:25" x14ac:dyDescent="0.25"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66"/>
      <c r="X236" s="66"/>
      <c r="Y236" s="66"/>
    </row>
    <row r="237" spans="10:25" x14ac:dyDescent="0.25"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66"/>
      <c r="X237" s="66"/>
      <c r="Y237" s="66"/>
    </row>
    <row r="238" spans="10:25" x14ac:dyDescent="0.25"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66"/>
      <c r="X238" s="66"/>
      <c r="Y238" s="66"/>
    </row>
    <row r="239" spans="10:25" x14ac:dyDescent="0.25"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66"/>
      <c r="X239" s="66"/>
      <c r="Y239" s="66"/>
    </row>
    <row r="240" spans="10:25" x14ac:dyDescent="0.25"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66"/>
      <c r="X240" s="66"/>
      <c r="Y240" s="66"/>
    </row>
    <row r="241" spans="10:25" x14ac:dyDescent="0.25"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66"/>
      <c r="X241" s="66"/>
      <c r="Y241" s="66"/>
    </row>
    <row r="242" spans="10:25" x14ac:dyDescent="0.25"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66"/>
      <c r="X242" s="66"/>
      <c r="Y242" s="66"/>
    </row>
    <row r="243" spans="10:25" x14ac:dyDescent="0.25"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66"/>
      <c r="X243" s="66"/>
      <c r="Y243" s="66"/>
    </row>
    <row r="244" spans="10:25" x14ac:dyDescent="0.25"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66"/>
      <c r="X244" s="66"/>
      <c r="Y244" s="66"/>
    </row>
    <row r="245" spans="10:25" x14ac:dyDescent="0.25"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66"/>
      <c r="X245" s="66"/>
      <c r="Y245" s="66"/>
    </row>
    <row r="246" spans="10:25" x14ac:dyDescent="0.25"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</row>
    <row r="247" spans="10:25" x14ac:dyDescent="0.25"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</row>
    <row r="248" spans="10:25" x14ac:dyDescent="0.25"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</row>
    <row r="249" spans="10:25" x14ac:dyDescent="0.25"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</row>
    <row r="250" spans="10:25" x14ac:dyDescent="0.25"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</row>
    <row r="251" spans="10:25" x14ac:dyDescent="0.25"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</row>
    <row r="252" spans="10:25" x14ac:dyDescent="0.25"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</row>
  </sheetData>
  <mergeCells count="1">
    <mergeCell ref="F15:F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507"/>
  <sheetViews>
    <sheetView tabSelected="1" topLeftCell="A49" workbookViewId="0">
      <selection activeCell="M10" sqref="M10"/>
    </sheetView>
  </sheetViews>
  <sheetFormatPr defaultRowHeight="12.75" x14ac:dyDescent="0.2"/>
  <cols>
    <col min="1" max="1" width="11.5703125" customWidth="1"/>
    <col min="3" max="3" width="27.85546875" customWidth="1"/>
    <col min="4" max="4" width="11.28515625" customWidth="1"/>
    <col min="5" max="5" width="11.5703125" customWidth="1"/>
    <col min="7" max="7" width="10.140625" customWidth="1"/>
    <col min="8" max="8" width="9.42578125" customWidth="1"/>
    <col min="9" max="9" width="14.7109375" customWidth="1"/>
    <col min="11" max="11" width="9" customWidth="1"/>
    <col min="12" max="12" width="10.85546875" customWidth="1"/>
    <col min="16" max="16" width="10.5703125" customWidth="1"/>
  </cols>
  <sheetData>
    <row r="1" spans="1:18" x14ac:dyDescent="0.2">
      <c r="A1" t="s">
        <v>56</v>
      </c>
      <c r="B1" t="s">
        <v>22</v>
      </c>
      <c r="C1" t="s">
        <v>57</v>
      </c>
      <c r="D1" t="s">
        <v>88</v>
      </c>
      <c r="E1" t="s">
        <v>75</v>
      </c>
      <c r="F1" t="s">
        <v>76</v>
      </c>
      <c r="G1" t="s">
        <v>69</v>
      </c>
      <c r="H1" t="s">
        <v>70</v>
      </c>
      <c r="I1" t="s">
        <v>58</v>
      </c>
      <c r="J1" t="s">
        <v>89</v>
      </c>
      <c r="L1" s="22" t="s">
        <v>108</v>
      </c>
      <c r="M1" t="s">
        <v>95</v>
      </c>
      <c r="Q1">
        <f>SUM(L2:L11)/10</f>
        <v>0.15999999999999942</v>
      </c>
      <c r="R1" s="22"/>
    </row>
    <row r="2" spans="1:18" x14ac:dyDescent="0.2">
      <c r="A2" s="20">
        <v>41641</v>
      </c>
      <c r="B2">
        <v>95.14</v>
      </c>
      <c r="C2">
        <f>AVERAGE(B2:B21)</f>
        <v>94.470499999999987</v>
      </c>
      <c r="D2">
        <f>AVERAGE(C2:C101)</f>
        <v>101.01197999999998</v>
      </c>
      <c r="E2">
        <f>MIN(B2:B51)</f>
        <v>91.36</v>
      </c>
      <c r="F2">
        <f>MAX(B2:B51)</f>
        <v>105.34</v>
      </c>
      <c r="I2" t="str">
        <f>IF((C3-C2)&gt;0, "Positive slope", "Negative slope")</f>
        <v>Positive slope</v>
      </c>
      <c r="J2" t="str">
        <f>IF((D3-D2)&gt;0, "Positive slope", "Negative slope")</f>
        <v>Positive slope</v>
      </c>
      <c r="L2">
        <f>B2-B3</f>
        <v>1.480000000000004</v>
      </c>
      <c r="M2" s="22" t="s">
        <v>109</v>
      </c>
      <c r="Q2" s="18">
        <f>SUM(L2:L22)</f>
        <v>-1.2999999999999972</v>
      </c>
      <c r="R2" s="22"/>
    </row>
    <row r="3" spans="1:18" x14ac:dyDescent="0.2">
      <c r="A3" s="20">
        <v>41642</v>
      </c>
      <c r="B3">
        <v>93.66</v>
      </c>
      <c r="C3">
        <f>AVERAGE(B3:B22)</f>
        <v>94.590999999999994</v>
      </c>
      <c r="D3">
        <f>AVERAGE(C3:C102)</f>
        <v>101.1206</v>
      </c>
      <c r="E3">
        <f>MIN(B3:B52)</f>
        <v>91.36</v>
      </c>
      <c r="F3">
        <f>MAX(B3:B52)</f>
        <v>105.34</v>
      </c>
      <c r="I3" t="str">
        <f t="shared" ref="I3:I66" si="0">IF((C4-C3)&gt;0, "Positive slope", "Negative slope")</f>
        <v>Positive slope</v>
      </c>
      <c r="J3" t="str">
        <f t="shared" ref="J3:J66" si="1">IF((D4-D3)&gt;0, "Positive slope", "Negative slope")</f>
        <v>Positive slope</v>
      </c>
      <c r="L3">
        <f t="shared" ref="L3:L34" si="2">B3-B4</f>
        <v>0.53999999999999204</v>
      </c>
    </row>
    <row r="4" spans="1:18" x14ac:dyDescent="0.2">
      <c r="A4" s="20">
        <v>41645</v>
      </c>
      <c r="B4">
        <v>93.12</v>
      </c>
      <c r="C4">
        <f>AVERAGE(B4:B23)</f>
        <v>94.72999999999999</v>
      </c>
      <c r="D4">
        <f>AVERAGE(C4:C103)</f>
        <v>101.22985</v>
      </c>
      <c r="E4">
        <f>MIN(B4:B53)</f>
        <v>91.36</v>
      </c>
      <c r="F4">
        <f>MAX(B4:B53)</f>
        <v>105.34</v>
      </c>
      <c r="I4" t="str">
        <f t="shared" si="0"/>
        <v>Positive slope</v>
      </c>
      <c r="J4" t="str">
        <f t="shared" si="1"/>
        <v>Positive slope</v>
      </c>
      <c r="L4">
        <f t="shared" si="2"/>
        <v>-0.18999999999999773</v>
      </c>
      <c r="M4" s="88" t="s">
        <v>122</v>
      </c>
      <c r="N4" s="23"/>
      <c r="O4" s="23"/>
      <c r="P4" s="23"/>
      <c r="Q4" s="23"/>
      <c r="R4" s="23"/>
    </row>
    <row r="5" spans="1:18" x14ac:dyDescent="0.2">
      <c r="A5" s="20">
        <v>41646</v>
      </c>
      <c r="B5">
        <v>93.31</v>
      </c>
      <c r="C5">
        <f>AVERAGE(B5:B24)</f>
        <v>94.935999999999993</v>
      </c>
      <c r="D5">
        <f>AVERAGE(C5:C104)</f>
        <v>101.338825</v>
      </c>
      <c r="E5">
        <f>MIN(B5:B54)</f>
        <v>91.36</v>
      </c>
      <c r="F5">
        <f>MAX(B5:B54)</f>
        <v>105.34</v>
      </c>
      <c r="I5" t="str">
        <f t="shared" si="0"/>
        <v>Positive slope</v>
      </c>
      <c r="J5" t="str">
        <f t="shared" si="1"/>
        <v>Positive slope</v>
      </c>
      <c r="L5">
        <f t="shared" si="2"/>
        <v>1.4099999999999966</v>
      </c>
      <c r="M5" s="22" t="s">
        <v>110</v>
      </c>
    </row>
    <row r="6" spans="1:18" x14ac:dyDescent="0.2">
      <c r="A6" s="20">
        <v>41647</v>
      </c>
      <c r="B6">
        <v>91.9</v>
      </c>
      <c r="C6">
        <f>AVERAGE(B6:B25)</f>
        <v>95.140500000000003</v>
      </c>
      <c r="D6">
        <f>AVERAGE(C6:C105)</f>
        <v>101.44727</v>
      </c>
      <c r="E6">
        <f>MIN(B6:B55)</f>
        <v>91.36</v>
      </c>
      <c r="F6">
        <f>MAX(B6:B55)</f>
        <v>105.34</v>
      </c>
      <c r="I6" t="str">
        <f t="shared" si="0"/>
        <v>Positive slope</v>
      </c>
      <c r="J6" t="str">
        <f t="shared" si="1"/>
        <v>Positive slope</v>
      </c>
      <c r="L6">
        <f t="shared" si="2"/>
        <v>0.54000000000000625</v>
      </c>
      <c r="M6" s="22" t="s">
        <v>104</v>
      </c>
    </row>
    <row r="7" spans="1:18" x14ac:dyDescent="0.2">
      <c r="A7" s="20">
        <v>41648</v>
      </c>
      <c r="B7">
        <v>91.36</v>
      </c>
      <c r="C7">
        <f>AVERAGE(B7:B26)</f>
        <v>95.4375</v>
      </c>
      <c r="D7">
        <f>AVERAGE(C7:C106)</f>
        <v>101.55517000000002</v>
      </c>
      <c r="E7">
        <f>MIN(B7:B56)</f>
        <v>91.36</v>
      </c>
      <c r="F7">
        <f>MAX(B7:B56)</f>
        <v>105.34</v>
      </c>
      <c r="I7" t="str">
        <f t="shared" si="0"/>
        <v>Positive slope</v>
      </c>
      <c r="J7" t="str">
        <f t="shared" si="1"/>
        <v>Positive slope</v>
      </c>
      <c r="L7">
        <f t="shared" si="2"/>
        <v>-1.0300000000000011</v>
      </c>
    </row>
    <row r="8" spans="1:18" x14ac:dyDescent="0.2">
      <c r="A8" s="20">
        <v>41649</v>
      </c>
      <c r="B8">
        <v>92.39</v>
      </c>
      <c r="C8">
        <f>AVERAGE(B8:B27)</f>
        <v>95.868499999999997</v>
      </c>
      <c r="D8">
        <f>AVERAGE(C8:C107)</f>
        <v>101.66146000000002</v>
      </c>
      <c r="E8">
        <f>MIN(B8:B57)</f>
        <v>91.45</v>
      </c>
      <c r="F8">
        <f>MAX(B8:B57)</f>
        <v>105.34</v>
      </c>
      <c r="I8" t="str">
        <f t="shared" si="0"/>
        <v>Positive slope</v>
      </c>
      <c r="J8" t="str">
        <f t="shared" si="1"/>
        <v>Positive slope</v>
      </c>
      <c r="L8">
        <f t="shared" si="2"/>
        <v>0.93999999999999773</v>
      </c>
      <c r="M8" s="22" t="s">
        <v>111</v>
      </c>
    </row>
    <row r="9" spans="1:18" x14ac:dyDescent="0.2">
      <c r="A9" s="20">
        <v>41652</v>
      </c>
      <c r="B9">
        <v>91.45</v>
      </c>
      <c r="C9">
        <f>AVERAGE(B9:B28)</f>
        <v>96.254999999999995</v>
      </c>
      <c r="D9">
        <f>AVERAGE(C9:C108)</f>
        <v>101.76439500000002</v>
      </c>
      <c r="E9">
        <f>MIN(B9:B58)</f>
        <v>91.45</v>
      </c>
      <c r="F9">
        <f>MAX(B9:B58)</f>
        <v>105.34</v>
      </c>
      <c r="I9" t="str">
        <f t="shared" si="0"/>
        <v>Positive slope</v>
      </c>
      <c r="J9" t="str">
        <f t="shared" si="1"/>
        <v>Positive slope</v>
      </c>
      <c r="L9">
        <f t="shared" si="2"/>
        <v>-0.70000000000000284</v>
      </c>
      <c r="M9" s="22" t="s">
        <v>124</v>
      </c>
    </row>
    <row r="10" spans="1:18" x14ac:dyDescent="0.2">
      <c r="A10" s="20">
        <v>41653</v>
      </c>
      <c r="B10">
        <v>92.15</v>
      </c>
      <c r="C10">
        <f>AVERAGE(B10:B29)</f>
        <v>96.680500000000009</v>
      </c>
      <c r="D10">
        <f>AVERAGE(C10:C109)</f>
        <v>101.86426000000002</v>
      </c>
      <c r="E10">
        <f>MIN(B10:B59)</f>
        <v>92.15</v>
      </c>
      <c r="F10">
        <f>MAX(B10:B59)</f>
        <v>105.34</v>
      </c>
      <c r="I10" t="str">
        <f t="shared" si="0"/>
        <v>Positive slope</v>
      </c>
      <c r="J10" t="str">
        <f t="shared" si="1"/>
        <v>Positive slope</v>
      </c>
      <c r="L10">
        <f t="shared" si="2"/>
        <v>-1.6299999999999955</v>
      </c>
    </row>
    <row r="11" spans="1:18" x14ac:dyDescent="0.2">
      <c r="A11" s="20">
        <v>41654</v>
      </c>
      <c r="B11">
        <v>93.78</v>
      </c>
      <c r="C11">
        <f>AVERAGE(B11:B30)</f>
        <v>97.092000000000013</v>
      </c>
      <c r="D11">
        <f>AVERAGE(C11:C110)</f>
        <v>101.96030500000001</v>
      </c>
      <c r="E11">
        <f>MIN(B11:B60)</f>
        <v>93.54</v>
      </c>
      <c r="F11">
        <f>MAX(B11:B60)</f>
        <v>105.34</v>
      </c>
      <c r="I11" t="str">
        <f t="shared" si="0"/>
        <v>Positive slope</v>
      </c>
      <c r="J11" t="str">
        <f t="shared" si="1"/>
        <v>Positive slope</v>
      </c>
      <c r="L11">
        <f t="shared" si="2"/>
        <v>0.23999999999999488</v>
      </c>
      <c r="M11" s="22" t="s">
        <v>114</v>
      </c>
    </row>
    <row r="12" spans="1:18" x14ac:dyDescent="0.2">
      <c r="A12" s="20">
        <v>41655</v>
      </c>
      <c r="B12">
        <v>93.54</v>
      </c>
      <c r="C12">
        <f>AVERAGE(B12:B31)</f>
        <v>97.416500000000013</v>
      </c>
      <c r="D12">
        <f>AVERAGE(C12:C111)</f>
        <v>102.05172</v>
      </c>
      <c r="E12">
        <f>MIN(B12:B61)</f>
        <v>93.54</v>
      </c>
      <c r="F12">
        <f>MAX(B12:B61)</f>
        <v>105.34</v>
      </c>
      <c r="I12" t="str">
        <f t="shared" si="0"/>
        <v>Positive slope</v>
      </c>
      <c r="J12" t="str">
        <f t="shared" si="1"/>
        <v>Positive slope</v>
      </c>
      <c r="L12">
        <f t="shared" si="2"/>
        <v>-0.41999999999998749</v>
      </c>
      <c r="M12" s="22" t="s">
        <v>116</v>
      </c>
    </row>
    <row r="13" spans="1:18" x14ac:dyDescent="0.2">
      <c r="A13" s="20">
        <v>41656</v>
      </c>
      <c r="B13">
        <v>93.96</v>
      </c>
      <c r="C13">
        <f>AVERAGE(B13:B32)</f>
        <v>97.754999999999995</v>
      </c>
      <c r="D13">
        <f>AVERAGE(C13:C112)</f>
        <v>102.138845</v>
      </c>
      <c r="E13">
        <f>MIN(B13:B62)</f>
        <v>93.96</v>
      </c>
      <c r="F13">
        <f>MAX(B13:B62)</f>
        <v>105.34</v>
      </c>
      <c r="I13" t="str">
        <f t="shared" si="0"/>
        <v>Positive slope</v>
      </c>
      <c r="J13" t="str">
        <f t="shared" si="1"/>
        <v>Positive slope</v>
      </c>
      <c r="L13">
        <f t="shared" si="2"/>
        <v>-0.55000000000001137</v>
      </c>
    </row>
    <row r="14" spans="1:18" x14ac:dyDescent="0.2">
      <c r="A14" s="20">
        <v>41660</v>
      </c>
      <c r="B14">
        <v>94.51</v>
      </c>
      <c r="C14">
        <f>AVERAGE(B14:B33)</f>
        <v>98.183999999999997</v>
      </c>
      <c r="D14">
        <f>AVERAGE(C14:C113)</f>
        <v>102.22187</v>
      </c>
      <c r="E14">
        <f>MIN(B14:B63)</f>
        <v>94.51</v>
      </c>
      <c r="F14">
        <f>MAX(B14:B63)</f>
        <v>105.34</v>
      </c>
      <c r="I14" t="str">
        <f t="shared" si="0"/>
        <v>Positive slope</v>
      </c>
      <c r="J14" t="str">
        <f t="shared" si="1"/>
        <v>Positive slope</v>
      </c>
      <c r="L14">
        <f t="shared" si="2"/>
        <v>-1.8399999999999892</v>
      </c>
    </row>
    <row r="15" spans="1:18" x14ac:dyDescent="0.2">
      <c r="A15" s="20">
        <v>41661</v>
      </c>
      <c r="B15">
        <v>96.35</v>
      </c>
      <c r="C15">
        <f>AVERAGE(B15:B34)</f>
        <v>98.631500000000003</v>
      </c>
      <c r="D15">
        <f>AVERAGE(C15:C114)</f>
        <v>102.29774499999999</v>
      </c>
      <c r="E15">
        <f>MIN(B15:B64)</f>
        <v>95.82</v>
      </c>
      <c r="F15">
        <f>MAX(B15:B64)</f>
        <v>105.34</v>
      </c>
      <c r="I15" t="str">
        <f t="shared" si="0"/>
        <v>Positive slope</v>
      </c>
      <c r="J15" t="str">
        <f t="shared" si="1"/>
        <v>Positive slope</v>
      </c>
      <c r="L15">
        <f t="shared" si="2"/>
        <v>-0.88000000000000966</v>
      </c>
    </row>
    <row r="16" spans="1:18" x14ac:dyDescent="0.2">
      <c r="A16" s="20">
        <v>41662</v>
      </c>
      <c r="B16">
        <v>97.23</v>
      </c>
      <c r="C16">
        <f>AVERAGE(B16:B35)</f>
        <v>98.974000000000018</v>
      </c>
      <c r="D16">
        <f>AVERAGE(C16:C115)</f>
        <v>102.36626500000003</v>
      </c>
      <c r="E16">
        <f>MIN(B16:B65)</f>
        <v>95.82</v>
      </c>
      <c r="F16">
        <f>MAX(B16:B65)</f>
        <v>105.34</v>
      </c>
      <c r="I16" t="str">
        <f t="shared" si="0"/>
        <v>Positive slope</v>
      </c>
      <c r="J16" t="str">
        <f t="shared" si="1"/>
        <v>Positive slope</v>
      </c>
      <c r="L16">
        <f t="shared" si="2"/>
        <v>0.57000000000000739</v>
      </c>
    </row>
    <row r="17" spans="1:17" x14ac:dyDescent="0.2">
      <c r="A17" s="20">
        <v>41663</v>
      </c>
      <c r="B17">
        <v>96.66</v>
      </c>
      <c r="C17">
        <f>AVERAGE(B17:B36)</f>
        <v>99.239000000000004</v>
      </c>
      <c r="D17">
        <f>AVERAGE(C17:C116)</f>
        <v>102.42788000000002</v>
      </c>
      <c r="E17">
        <f>MIN(B17:B66)</f>
        <v>95.82</v>
      </c>
      <c r="F17">
        <f>MAX(B17:B66)</f>
        <v>105.34</v>
      </c>
      <c r="I17" t="str">
        <f t="shared" si="0"/>
        <v>Positive slope</v>
      </c>
      <c r="J17" t="str">
        <f t="shared" si="1"/>
        <v>Positive slope</v>
      </c>
      <c r="L17">
        <f t="shared" si="2"/>
        <v>0.84000000000000341</v>
      </c>
    </row>
    <row r="18" spans="1:17" x14ac:dyDescent="0.2">
      <c r="A18" s="20">
        <v>41666</v>
      </c>
      <c r="B18">
        <v>95.82</v>
      </c>
      <c r="C18">
        <f>AVERAGE(B18:B37)</f>
        <v>99.564499999999995</v>
      </c>
      <c r="D18">
        <f>AVERAGE(C18:C117)</f>
        <v>102.48431000000002</v>
      </c>
      <c r="E18">
        <f>MIN(B18:B67)</f>
        <v>95.82</v>
      </c>
      <c r="F18">
        <f>MAX(B18:B67)</f>
        <v>105.34</v>
      </c>
      <c r="I18" t="str">
        <f t="shared" si="0"/>
        <v>Positive slope</v>
      </c>
      <c r="J18" t="str">
        <f t="shared" si="1"/>
        <v>Positive slope</v>
      </c>
      <c r="L18">
        <f t="shared" si="2"/>
        <v>-1.6700000000000017</v>
      </c>
    </row>
    <row r="19" spans="1:17" x14ac:dyDescent="0.2">
      <c r="A19" s="20">
        <v>41667</v>
      </c>
      <c r="B19">
        <v>97.49</v>
      </c>
      <c r="C19">
        <f>AVERAGE(B19:B38)</f>
        <v>99.883499999999998</v>
      </c>
      <c r="D19">
        <f>AVERAGE(C19:C118)</f>
        <v>102.53608500000001</v>
      </c>
      <c r="E19">
        <f>MIN(B19:B68)</f>
        <v>96.44</v>
      </c>
      <c r="F19">
        <f>MAX(B19:B68)</f>
        <v>105.34</v>
      </c>
      <c r="I19" t="str">
        <f t="shared" si="0"/>
        <v>Positive slope</v>
      </c>
      <c r="J19" t="str">
        <f t="shared" si="1"/>
        <v>Positive slope</v>
      </c>
      <c r="L19">
        <f t="shared" si="2"/>
        <v>0.14999999999999147</v>
      </c>
    </row>
    <row r="20" spans="1:17" x14ac:dyDescent="0.2">
      <c r="A20" s="20">
        <v>41668</v>
      </c>
      <c r="B20">
        <v>97.34</v>
      </c>
      <c r="C20">
        <f>AVERAGE(B20:B39)</f>
        <v>100.1555</v>
      </c>
      <c r="D20">
        <f>AVERAGE(C20:C119)</f>
        <v>102.58304500000004</v>
      </c>
      <c r="E20">
        <f>MIN(B20:B69)</f>
        <v>96.44</v>
      </c>
      <c r="F20">
        <f>MAX(B20:B69)</f>
        <v>105.34</v>
      </c>
      <c r="I20" t="str">
        <f t="shared" si="0"/>
        <v>Positive slope</v>
      </c>
      <c r="J20" t="str">
        <f t="shared" si="1"/>
        <v>Positive slope</v>
      </c>
      <c r="L20">
        <f t="shared" si="2"/>
        <v>-0.90999999999999659</v>
      </c>
    </row>
    <row r="21" spans="1:17" x14ac:dyDescent="0.2">
      <c r="A21" s="20">
        <v>41669</v>
      </c>
      <c r="B21">
        <v>98.25</v>
      </c>
      <c r="C21">
        <f>AVERAGE(B21:B40)</f>
        <v>100.42250000000001</v>
      </c>
      <c r="D21">
        <f>AVERAGE(C21:C120)</f>
        <v>102.62598000000006</v>
      </c>
      <c r="E21">
        <f>MIN(B21:B70)</f>
        <v>96.44</v>
      </c>
      <c r="F21">
        <f>MAX(B21:B70)</f>
        <v>105.34</v>
      </c>
      <c r="I21" t="str">
        <f t="shared" si="0"/>
        <v>Positive slope</v>
      </c>
      <c r="J21" t="str">
        <f t="shared" si="1"/>
        <v>Positive slope</v>
      </c>
      <c r="L21">
        <f t="shared" si="2"/>
        <v>0.70000000000000284</v>
      </c>
    </row>
    <row r="22" spans="1:17" x14ac:dyDescent="0.2">
      <c r="A22" s="20">
        <v>41670</v>
      </c>
      <c r="B22">
        <v>97.55</v>
      </c>
      <c r="C22">
        <f>AVERAGE(B22:B41)</f>
        <v>100.65400000000002</v>
      </c>
      <c r="D22">
        <f>AVERAGE(C22:C121)</f>
        <v>102.66512500000006</v>
      </c>
      <c r="E22">
        <f>MIN(B22:B71)</f>
        <v>96.44</v>
      </c>
      <c r="F22">
        <f>MAX(B22:B71)</f>
        <v>105.34</v>
      </c>
      <c r="I22" t="str">
        <f t="shared" si="0"/>
        <v>Positive slope</v>
      </c>
      <c r="J22" t="str">
        <f t="shared" si="1"/>
        <v>Positive slope</v>
      </c>
      <c r="L22">
        <f t="shared" si="2"/>
        <v>1.1099999999999994</v>
      </c>
    </row>
    <row r="23" spans="1:17" x14ac:dyDescent="0.2">
      <c r="A23" s="20">
        <v>41673</v>
      </c>
      <c r="B23">
        <v>96.44</v>
      </c>
      <c r="C23">
        <f>AVERAGE(B23:B42)</f>
        <v>101.04350000000001</v>
      </c>
      <c r="D23">
        <f>AVERAGE(C23:C122)</f>
        <v>102.70054000000006</v>
      </c>
      <c r="E23">
        <f>MIN(B23:B72)</f>
        <v>96.44</v>
      </c>
      <c r="F23">
        <f>MAX(B23:B72)</f>
        <v>105.34</v>
      </c>
      <c r="I23" t="str">
        <f t="shared" si="0"/>
        <v>Positive slope</v>
      </c>
      <c r="J23" t="str">
        <f t="shared" si="1"/>
        <v>Positive slope</v>
      </c>
      <c r="L23">
        <f t="shared" si="2"/>
        <v>-0.79999999999999716</v>
      </c>
    </row>
    <row r="24" spans="1:17" x14ac:dyDescent="0.2">
      <c r="A24" s="20">
        <v>41674</v>
      </c>
      <c r="B24">
        <v>97.24</v>
      </c>
      <c r="C24">
        <f>AVERAGE(B24:B43)</f>
        <v>101.40350000000001</v>
      </c>
      <c r="D24">
        <f>AVERAGE(C24:C123)</f>
        <v>102.72992000000004</v>
      </c>
      <c r="E24">
        <f>MIN(B24:B73)</f>
        <v>97.24</v>
      </c>
      <c r="F24">
        <f>MAX(B24:B73)</f>
        <v>105.34</v>
      </c>
      <c r="I24" t="str">
        <f t="shared" si="0"/>
        <v>Positive slope</v>
      </c>
      <c r="J24" t="str">
        <f t="shared" si="1"/>
        <v>Positive slope</v>
      </c>
      <c r="L24">
        <f t="shared" si="2"/>
        <v>-0.1600000000000108</v>
      </c>
    </row>
    <row r="25" spans="1:17" x14ac:dyDescent="0.2">
      <c r="A25" s="20">
        <v>41675</v>
      </c>
      <c r="B25">
        <v>97.4</v>
      </c>
      <c r="C25">
        <f>AVERAGE(B25:B44)</f>
        <v>101.62900000000002</v>
      </c>
      <c r="D25">
        <f>AVERAGE(C25:C124)</f>
        <v>102.75507000000003</v>
      </c>
      <c r="E25">
        <f>MIN(B25:B74)</f>
        <v>97.4</v>
      </c>
      <c r="F25">
        <f>MAX(B25:B74)</f>
        <v>105.34</v>
      </c>
      <c r="I25" t="str">
        <f t="shared" si="0"/>
        <v>Positive slope</v>
      </c>
      <c r="J25" t="str">
        <f t="shared" si="1"/>
        <v>Positive slope</v>
      </c>
      <c r="L25">
        <f t="shared" si="2"/>
        <v>-0.43999999999999773</v>
      </c>
    </row>
    <row r="26" spans="1:17" x14ac:dyDescent="0.2">
      <c r="A26" s="20">
        <v>41676</v>
      </c>
      <c r="B26">
        <v>97.84</v>
      </c>
      <c r="C26">
        <f>AVERAGE(B26:B45)</f>
        <v>101.85000000000001</v>
      </c>
      <c r="D26">
        <f>AVERAGE(C26:C125)</f>
        <v>102.77757500000001</v>
      </c>
      <c r="E26">
        <f>MIN(B26:B75)</f>
        <v>97.84</v>
      </c>
      <c r="F26">
        <f>MAX(B26:B75)</f>
        <v>105.34</v>
      </c>
      <c r="I26" t="str">
        <f t="shared" si="0"/>
        <v>Positive slope</v>
      </c>
      <c r="J26" t="str">
        <f t="shared" si="1"/>
        <v>Positive slope</v>
      </c>
      <c r="L26">
        <f t="shared" si="2"/>
        <v>-2.1400000000000006</v>
      </c>
      <c r="M26" s="22" t="s">
        <v>115</v>
      </c>
    </row>
    <row r="27" spans="1:17" x14ac:dyDescent="0.2">
      <c r="A27" s="20">
        <v>41677</v>
      </c>
      <c r="B27">
        <v>99.98</v>
      </c>
      <c r="C27">
        <f>AVERAGE(B27:B46)</f>
        <v>102.099</v>
      </c>
      <c r="D27">
        <f>AVERAGE(C27:C126)</f>
        <v>102.79729000000002</v>
      </c>
      <c r="E27">
        <f>MIN(B27:B76)</f>
        <v>98.29</v>
      </c>
      <c r="F27">
        <f>MAX(B27:B76)</f>
        <v>105.34</v>
      </c>
      <c r="I27" t="str">
        <f t="shared" si="0"/>
        <v>Positive slope</v>
      </c>
      <c r="J27" t="str">
        <f t="shared" si="1"/>
        <v>Positive slope</v>
      </c>
      <c r="L27">
        <f t="shared" si="2"/>
        <v>-0.14000000000000057</v>
      </c>
    </row>
    <row r="28" spans="1:17" x14ac:dyDescent="0.2">
      <c r="A28" s="20">
        <v>41680</v>
      </c>
      <c r="B28">
        <v>100.12</v>
      </c>
      <c r="C28">
        <f>AVERAGE(B28:B47)</f>
        <v>102.1695</v>
      </c>
      <c r="D28">
        <f>AVERAGE(C28:C127)</f>
        <v>102.81363000000002</v>
      </c>
      <c r="E28">
        <f>MIN(B28:B77)</f>
        <v>98.29</v>
      </c>
      <c r="F28">
        <f>MAX(B28:B77)</f>
        <v>105.34</v>
      </c>
      <c r="I28" t="str">
        <f t="shared" si="0"/>
        <v>Positive slope</v>
      </c>
      <c r="J28" t="str">
        <f t="shared" si="1"/>
        <v>Positive slope</v>
      </c>
      <c r="L28">
        <f t="shared" si="2"/>
        <v>0.1600000000000108</v>
      </c>
      <c r="M28" s="22" t="s">
        <v>123</v>
      </c>
    </row>
    <row r="29" spans="1:17" x14ac:dyDescent="0.2">
      <c r="A29" s="20">
        <v>41681</v>
      </c>
      <c r="B29">
        <v>99.96</v>
      </c>
      <c r="C29">
        <f>AVERAGE(B29:B48)</f>
        <v>102.17800000000001</v>
      </c>
      <c r="D29">
        <f>AVERAGE(C29:C128)</f>
        <v>102.82579000000001</v>
      </c>
      <c r="E29">
        <f>MIN(B29:B78)</f>
        <v>98.29</v>
      </c>
      <c r="F29">
        <f>MAX(B29:B78)</f>
        <v>105.34</v>
      </c>
      <c r="I29" t="str">
        <f t="shared" si="0"/>
        <v>Negative slope</v>
      </c>
      <c r="J29" t="str">
        <f t="shared" si="1"/>
        <v>Positive slope</v>
      </c>
      <c r="L29">
        <f t="shared" si="2"/>
        <v>-0.42000000000000171</v>
      </c>
      <c r="M29" s="22" t="s">
        <v>112</v>
      </c>
    </row>
    <row r="30" spans="1:17" x14ac:dyDescent="0.2">
      <c r="A30" s="20">
        <v>41682</v>
      </c>
      <c r="B30">
        <v>100.38</v>
      </c>
      <c r="C30">
        <f>AVERAGE(B30:B49)</f>
        <v>102.09450000000001</v>
      </c>
      <c r="D30">
        <f>AVERAGE(C30:C129)</f>
        <v>102.83441500000001</v>
      </c>
      <c r="E30">
        <f>MIN(B30:B79)</f>
        <v>98.29</v>
      </c>
      <c r="F30">
        <f>MAX(B30:B79)</f>
        <v>105.34</v>
      </c>
      <c r="I30" t="str">
        <f t="shared" si="0"/>
        <v>Negative slope</v>
      </c>
      <c r="J30" t="str">
        <f t="shared" si="1"/>
        <v>Positive slope</v>
      </c>
      <c r="L30">
        <f t="shared" si="2"/>
        <v>0.10999999999999943</v>
      </c>
      <c r="M30" s="22" t="s">
        <v>113</v>
      </c>
    </row>
    <row r="31" spans="1:17" x14ac:dyDescent="0.2">
      <c r="A31" s="20">
        <v>41683</v>
      </c>
      <c r="B31">
        <v>100.27</v>
      </c>
      <c r="C31">
        <f>AVERAGE(B31:B50)</f>
        <v>102.00399999999999</v>
      </c>
      <c r="D31">
        <f>AVERAGE(C31:C130)</f>
        <v>102.84091000000002</v>
      </c>
      <c r="E31">
        <f>MIN(B31:B80)</f>
        <v>98.29</v>
      </c>
      <c r="F31">
        <f>MAX(B31:B80)</f>
        <v>105.34</v>
      </c>
      <c r="I31" t="str">
        <f t="shared" si="0"/>
        <v>Negative slope</v>
      </c>
      <c r="J31" t="str">
        <f t="shared" si="1"/>
        <v>Positive slope</v>
      </c>
      <c r="L31">
        <f t="shared" si="2"/>
        <v>-4.0000000000006253E-2</v>
      </c>
      <c r="P31" s="22"/>
      <c r="Q31" s="22"/>
    </row>
    <row r="32" spans="1:17" x14ac:dyDescent="0.2">
      <c r="A32" s="20">
        <v>41684</v>
      </c>
      <c r="B32">
        <v>100.31</v>
      </c>
      <c r="C32">
        <f>AVERAGE(B32:B51)</f>
        <v>101.952</v>
      </c>
      <c r="D32">
        <f>AVERAGE(C32:C131)</f>
        <v>102.84495000000001</v>
      </c>
      <c r="E32">
        <f>MIN(B32:B81)</f>
        <v>98.29</v>
      </c>
      <c r="F32">
        <f>MAX(B32:B81)</f>
        <v>105.34</v>
      </c>
      <c r="I32" t="str">
        <f t="shared" si="0"/>
        <v>Negative slope</v>
      </c>
      <c r="J32" t="str">
        <f t="shared" si="1"/>
        <v>Positive slope</v>
      </c>
      <c r="L32">
        <f t="shared" si="2"/>
        <v>-2.230000000000004</v>
      </c>
      <c r="M32" s="22" t="s">
        <v>96</v>
      </c>
    </row>
    <row r="33" spans="1:18" x14ac:dyDescent="0.2">
      <c r="A33" s="20">
        <v>41688</v>
      </c>
      <c r="B33">
        <v>102.54</v>
      </c>
      <c r="C33">
        <f>AVERAGE(B33:B52)</f>
        <v>101.858</v>
      </c>
      <c r="D33">
        <f>AVERAGE(C33:C132)</f>
        <v>102.84650999999999</v>
      </c>
      <c r="E33">
        <f>MIN(B33:B82)</f>
        <v>98.29</v>
      </c>
      <c r="F33">
        <f>MAX(B33:B82)</f>
        <v>105.34</v>
      </c>
      <c r="I33" t="str">
        <f t="shared" si="0"/>
        <v>Negative slope</v>
      </c>
      <c r="J33" t="str">
        <f t="shared" si="1"/>
        <v>Negative slope</v>
      </c>
      <c r="L33">
        <f t="shared" si="2"/>
        <v>-0.91999999999998749</v>
      </c>
      <c r="M33" s="22"/>
    </row>
    <row r="34" spans="1:18" x14ac:dyDescent="0.2">
      <c r="A34" s="20">
        <v>41689</v>
      </c>
      <c r="B34">
        <v>103.46</v>
      </c>
      <c r="C34">
        <f>AVERAGE(B34:B53)</f>
        <v>101.735</v>
      </c>
      <c r="D34">
        <f>AVERAGE(C34:C133)</f>
        <v>102.84587499999999</v>
      </c>
      <c r="E34">
        <f>MIN(B34:B83)</f>
        <v>98.29</v>
      </c>
      <c r="F34">
        <f>MAX(B34:B83)</f>
        <v>105.34</v>
      </c>
      <c r="I34" t="str">
        <f t="shared" si="0"/>
        <v>Negative slope</v>
      </c>
      <c r="J34" t="str">
        <f t="shared" si="1"/>
        <v>Negative slope</v>
      </c>
      <c r="L34">
        <f t="shared" si="2"/>
        <v>0.25999999999999091</v>
      </c>
      <c r="Q34" s="82" t="s">
        <v>105</v>
      </c>
      <c r="R34" s="83">
        <f>(36.2-37.43)/36.2</f>
        <v>-3.3977900552486097E-2</v>
      </c>
    </row>
    <row r="35" spans="1:18" x14ac:dyDescent="0.2">
      <c r="A35" s="20">
        <v>41690</v>
      </c>
      <c r="B35">
        <v>103.2</v>
      </c>
      <c r="C35">
        <f>AVERAGE(B35:B54)</f>
        <v>101.5975</v>
      </c>
      <c r="D35">
        <f>AVERAGE(C35:C134)</f>
        <v>102.84453499999999</v>
      </c>
      <c r="E35">
        <f>MIN(B35:B84)</f>
        <v>98.29</v>
      </c>
      <c r="F35">
        <f>MAX(B35:B84)</f>
        <v>105.34</v>
      </c>
      <c r="I35" t="str">
        <f t="shared" si="0"/>
        <v>Negative slope</v>
      </c>
      <c r="J35" t="str">
        <f t="shared" si="1"/>
        <v>Negative slope</v>
      </c>
      <c r="Q35" s="84" t="s">
        <v>106</v>
      </c>
      <c r="R35" s="85">
        <f>(35.06-33.22)/35.06</f>
        <v>5.2481460353679503E-2</v>
      </c>
    </row>
    <row r="36" spans="1:18" x14ac:dyDescent="0.2">
      <c r="A36" s="20">
        <v>41691</v>
      </c>
      <c r="B36">
        <v>102.53</v>
      </c>
      <c r="C36">
        <f>AVERAGE(B36:B55)</f>
        <v>101.42150000000001</v>
      </c>
      <c r="D36">
        <f>AVERAGE(C36:C135)</f>
        <v>102.84274999999998</v>
      </c>
      <c r="E36">
        <f>MIN(B36:B85)</f>
        <v>98.29</v>
      </c>
      <c r="F36">
        <f>MAX(B36:B85)</f>
        <v>105.34</v>
      </c>
      <c r="I36" t="str">
        <f t="shared" si="0"/>
        <v>Negative slope</v>
      </c>
      <c r="J36" t="str">
        <f t="shared" si="1"/>
        <v>Negative slope</v>
      </c>
      <c r="Q36" s="86" t="s">
        <v>107</v>
      </c>
      <c r="R36" s="87">
        <f>(58.82-54.06)/58.82</f>
        <v>8.0924855491329439E-2</v>
      </c>
    </row>
    <row r="37" spans="1:18" x14ac:dyDescent="0.2">
      <c r="A37" s="20">
        <v>41694</v>
      </c>
      <c r="B37">
        <v>103.17</v>
      </c>
      <c r="C37">
        <f>AVERAGE(B37:B56)</f>
        <v>101.29350000000001</v>
      </c>
      <c r="D37">
        <f>AVERAGE(C37:C136)</f>
        <v>102.84112499999998</v>
      </c>
      <c r="E37">
        <f>MIN(B37:B86)</f>
        <v>98.29</v>
      </c>
      <c r="F37">
        <f>MAX(B37:B86)</f>
        <v>105.34</v>
      </c>
      <c r="I37" t="str">
        <f t="shared" si="0"/>
        <v>Negative slope</v>
      </c>
      <c r="J37" t="str">
        <f t="shared" si="1"/>
        <v>Negative slope</v>
      </c>
    </row>
    <row r="38" spans="1:18" x14ac:dyDescent="0.2">
      <c r="A38" s="20">
        <v>41695</v>
      </c>
      <c r="B38">
        <v>102.2</v>
      </c>
      <c r="C38">
        <f>AVERAGE(B38:B57)</f>
        <v>101.1375</v>
      </c>
      <c r="D38">
        <f>AVERAGE(C38:C137)</f>
        <v>102.83862499999998</v>
      </c>
      <c r="E38">
        <f>MIN(B38:B87)</f>
        <v>98.29</v>
      </c>
      <c r="F38">
        <f>MAX(B38:B87)</f>
        <v>105.34</v>
      </c>
      <c r="I38" t="str">
        <f t="shared" si="0"/>
        <v>Negative slope</v>
      </c>
      <c r="J38" t="str">
        <f t="shared" si="1"/>
        <v>Negative slope</v>
      </c>
    </row>
    <row r="39" spans="1:18" x14ac:dyDescent="0.2">
      <c r="A39" s="20">
        <v>41696</v>
      </c>
      <c r="B39">
        <v>102.93</v>
      </c>
      <c r="C39">
        <f>AVERAGE(B39:B58)</f>
        <v>101.01050000000001</v>
      </c>
      <c r="D39">
        <f>AVERAGE(C39:C138)</f>
        <v>102.833535</v>
      </c>
      <c r="E39">
        <f>MIN(B39:B88)</f>
        <v>98.29</v>
      </c>
      <c r="F39">
        <f>MAX(B39:B88)</f>
        <v>105.34</v>
      </c>
      <c r="I39" t="str">
        <f t="shared" si="0"/>
        <v>Negative slope</v>
      </c>
      <c r="J39" t="str">
        <f t="shared" si="1"/>
        <v>Negative slope</v>
      </c>
    </row>
    <row r="40" spans="1:18" x14ac:dyDescent="0.2">
      <c r="A40" s="20">
        <v>41697</v>
      </c>
      <c r="B40">
        <v>102.68</v>
      </c>
      <c r="C40">
        <f>AVERAGE(B40:B59)</f>
        <v>100.89449999999999</v>
      </c>
      <c r="D40">
        <f>AVERAGE(C40:C139)</f>
        <v>102.82644999999998</v>
      </c>
      <c r="E40">
        <f>MIN(B40:B89)</f>
        <v>98.29</v>
      </c>
      <c r="F40">
        <f>MAX(B40:B89)</f>
        <v>105.34</v>
      </c>
      <c r="I40" t="str">
        <f t="shared" si="0"/>
        <v>Negative slope</v>
      </c>
      <c r="J40" t="str">
        <f t="shared" si="1"/>
        <v>Negative slope</v>
      </c>
    </row>
    <row r="41" spans="1:18" x14ac:dyDescent="0.2">
      <c r="A41" s="20">
        <v>41698</v>
      </c>
      <c r="B41">
        <v>102.88</v>
      </c>
      <c r="C41">
        <f>AVERAGE(B41:B60)</f>
        <v>100.82300000000001</v>
      </c>
      <c r="D41">
        <f>AVERAGE(C41:C140)</f>
        <v>102.81607499999997</v>
      </c>
      <c r="E41">
        <f>MIN(B41:B90)</f>
        <v>98.29</v>
      </c>
      <c r="F41">
        <f>MAX(B41:B90)</f>
        <v>105.34</v>
      </c>
      <c r="I41" t="str">
        <f t="shared" si="0"/>
        <v>Negative slope</v>
      </c>
      <c r="J41" t="str">
        <f t="shared" si="1"/>
        <v>Negative slope</v>
      </c>
    </row>
    <row r="42" spans="1:18" x14ac:dyDescent="0.2">
      <c r="A42" s="20">
        <v>41701</v>
      </c>
      <c r="B42">
        <v>105.34</v>
      </c>
      <c r="C42">
        <f>AVERAGE(B42:B61)</f>
        <v>100.7655</v>
      </c>
      <c r="D42">
        <f>AVERAGE(C42:C141)</f>
        <v>102.80129499999997</v>
      </c>
      <c r="E42">
        <f>MIN(B42:B91)</f>
        <v>98.29</v>
      </c>
      <c r="F42">
        <f>MAX(B42:B91)</f>
        <v>105.34</v>
      </c>
      <c r="I42" t="str">
        <f t="shared" si="0"/>
        <v>Negative slope</v>
      </c>
      <c r="J42" t="str">
        <f t="shared" si="1"/>
        <v>Negative slope</v>
      </c>
    </row>
    <row r="43" spans="1:18" x14ac:dyDescent="0.2">
      <c r="A43" s="20">
        <v>41702</v>
      </c>
      <c r="B43">
        <v>103.64</v>
      </c>
      <c r="C43">
        <f>AVERAGE(B43:B62)</f>
        <v>100.577</v>
      </c>
      <c r="D43">
        <f>AVERAGE(C43:C142)</f>
        <v>102.78338499999997</v>
      </c>
      <c r="E43">
        <f>MIN(B43:B92)</f>
        <v>98.29</v>
      </c>
      <c r="F43">
        <f>MAX(B43:B92)</f>
        <v>104.35</v>
      </c>
      <c r="I43" t="str">
        <f t="shared" si="0"/>
        <v>Negative slope</v>
      </c>
      <c r="J43" t="str">
        <f t="shared" si="1"/>
        <v>Negative slope</v>
      </c>
    </row>
    <row r="44" spans="1:18" x14ac:dyDescent="0.2">
      <c r="A44" s="20">
        <v>41703</v>
      </c>
      <c r="B44">
        <v>101.75</v>
      </c>
      <c r="C44">
        <f>AVERAGE(B44:B63)</f>
        <v>100.37950000000001</v>
      </c>
      <c r="D44">
        <f>AVERAGE(C44:C143)</f>
        <v>102.76296499999997</v>
      </c>
      <c r="E44">
        <f>MIN(B44:B93)</f>
        <v>98.29</v>
      </c>
      <c r="F44">
        <f>MAX(B44:B93)</f>
        <v>104.35</v>
      </c>
      <c r="I44" t="str">
        <f t="shared" si="0"/>
        <v>Negative slope</v>
      </c>
      <c r="J44" t="str">
        <f t="shared" si="1"/>
        <v>Negative slope</v>
      </c>
    </row>
    <row r="45" spans="1:18" x14ac:dyDescent="0.2">
      <c r="A45" s="20">
        <v>41704</v>
      </c>
      <c r="B45">
        <v>101.82</v>
      </c>
      <c r="C45">
        <f>AVERAGE(B45:B64)</f>
        <v>100.27200000000001</v>
      </c>
      <c r="D45">
        <f>AVERAGE(C45:C144)</f>
        <v>102.73870999999995</v>
      </c>
      <c r="E45">
        <f>MIN(B45:B94)</f>
        <v>98.29</v>
      </c>
      <c r="F45">
        <f>MAX(B45:B94)</f>
        <v>104.35</v>
      </c>
      <c r="I45" t="str">
        <f t="shared" si="0"/>
        <v>Negative slope</v>
      </c>
      <c r="J45" t="str">
        <f t="shared" si="1"/>
        <v>Negative slope</v>
      </c>
    </row>
    <row r="46" spans="1:18" x14ac:dyDescent="0.2">
      <c r="A46" s="20">
        <v>41705</v>
      </c>
      <c r="B46">
        <v>102.82</v>
      </c>
      <c r="C46">
        <f>AVERAGE(B46:B65)</f>
        <v>100.1955</v>
      </c>
      <c r="D46">
        <f>AVERAGE(C46:C145)</f>
        <v>102.71038499999997</v>
      </c>
      <c r="E46">
        <f>MIN(B46:B95)</f>
        <v>98.29</v>
      </c>
      <c r="F46">
        <f>MAX(B46:B95)</f>
        <v>104.35</v>
      </c>
      <c r="I46" t="str">
        <f t="shared" si="0"/>
        <v>Negative slope</v>
      </c>
      <c r="J46" t="str">
        <f t="shared" si="1"/>
        <v>Negative slope</v>
      </c>
    </row>
    <row r="47" spans="1:18" x14ac:dyDescent="0.2">
      <c r="A47" s="20">
        <v>41708</v>
      </c>
      <c r="B47">
        <v>101.39</v>
      </c>
      <c r="C47">
        <f>AVERAGE(B47:B66)</f>
        <v>100.1125</v>
      </c>
      <c r="D47">
        <f>AVERAGE(C47:C146)</f>
        <v>102.67825999999997</v>
      </c>
      <c r="E47">
        <f>MIN(B47:B96)</f>
        <v>98.29</v>
      </c>
      <c r="F47">
        <f>MAX(B47:B96)</f>
        <v>104.35</v>
      </c>
      <c r="I47" t="str">
        <f t="shared" si="0"/>
        <v>Negative slope</v>
      </c>
      <c r="J47" t="str">
        <f t="shared" si="1"/>
        <v>Negative slope</v>
      </c>
    </row>
    <row r="48" spans="1:18" x14ac:dyDescent="0.2">
      <c r="A48" s="20">
        <v>41709</v>
      </c>
      <c r="B48">
        <v>100.29</v>
      </c>
      <c r="C48">
        <f>AVERAGE(B48:B67)</f>
        <v>100.0645</v>
      </c>
      <c r="D48">
        <f>AVERAGE(C48:C147)</f>
        <v>102.64272999999996</v>
      </c>
      <c r="E48">
        <f>MIN(B48:B97)</f>
        <v>98.29</v>
      </c>
      <c r="F48">
        <f>MAX(B48:B97)</f>
        <v>104.35</v>
      </c>
      <c r="I48" t="str">
        <f t="shared" si="0"/>
        <v>Positive slope</v>
      </c>
      <c r="J48" t="str">
        <f t="shared" si="1"/>
        <v>Negative slope</v>
      </c>
    </row>
    <row r="49" spans="1:10" x14ac:dyDescent="0.2">
      <c r="A49" s="20">
        <v>41710</v>
      </c>
      <c r="B49">
        <v>98.29</v>
      </c>
      <c r="C49">
        <f>AVERAGE(B49:B68)</f>
        <v>100.1785</v>
      </c>
      <c r="D49">
        <f>AVERAGE(C49:C148)</f>
        <v>102.60678499999996</v>
      </c>
      <c r="E49">
        <f>MIN(B49:B98)</f>
        <v>98.29</v>
      </c>
      <c r="F49">
        <f>MAX(B49:B98)</f>
        <v>104.35</v>
      </c>
      <c r="I49" t="str">
        <f t="shared" si="0"/>
        <v>Positive slope</v>
      </c>
      <c r="J49" t="str">
        <f t="shared" si="1"/>
        <v>Negative slope</v>
      </c>
    </row>
    <row r="50" spans="1:10" x14ac:dyDescent="0.2">
      <c r="A50" s="20">
        <v>41711</v>
      </c>
      <c r="B50">
        <v>98.57</v>
      </c>
      <c r="C50">
        <f>AVERAGE(B50:B69)</f>
        <v>100.44149999999999</v>
      </c>
      <c r="D50">
        <f>AVERAGE(C50:C149)</f>
        <v>102.56969999999997</v>
      </c>
      <c r="E50">
        <f>MIN(B50:B99)</f>
        <v>98.43</v>
      </c>
      <c r="F50">
        <f>MAX(B50:B99)</f>
        <v>104.35</v>
      </c>
      <c r="I50" t="str">
        <f t="shared" si="0"/>
        <v>Positive slope</v>
      </c>
      <c r="J50" t="str">
        <f t="shared" si="1"/>
        <v>Negative slope</v>
      </c>
    </row>
    <row r="51" spans="1:10" x14ac:dyDescent="0.2">
      <c r="A51" s="20">
        <v>41712</v>
      </c>
      <c r="B51">
        <v>99.23</v>
      </c>
      <c r="C51">
        <f>AVERAGE(B51:B70)</f>
        <v>100.68149999999999</v>
      </c>
      <c r="D51">
        <f>AVERAGE(C51:C150)</f>
        <v>102.52731499999996</v>
      </c>
      <c r="E51">
        <f>MIN(B51:B100)</f>
        <v>98.43</v>
      </c>
      <c r="F51">
        <f>MAX(B51:B100)</f>
        <v>105.01</v>
      </c>
      <c r="I51" t="str">
        <f t="shared" si="0"/>
        <v>Positive slope</v>
      </c>
      <c r="J51" t="str">
        <f t="shared" si="1"/>
        <v>Negative slope</v>
      </c>
    </row>
    <row r="52" spans="1:10" x14ac:dyDescent="0.2">
      <c r="A52" s="20">
        <v>41715</v>
      </c>
      <c r="B52">
        <v>98.43</v>
      </c>
      <c r="C52">
        <f>AVERAGE(B52:B71)</f>
        <v>100.90400000000001</v>
      </c>
      <c r="D52">
        <f>AVERAGE(C52:C151)</f>
        <v>102.48160999999996</v>
      </c>
      <c r="E52">
        <f>MIN(B52:B101)</f>
        <v>98.43</v>
      </c>
      <c r="F52">
        <f>MAX(B52:B101)</f>
        <v>105.01</v>
      </c>
      <c r="I52" t="str">
        <f t="shared" si="0"/>
        <v>Positive slope</v>
      </c>
      <c r="J52" t="str">
        <f t="shared" si="1"/>
        <v>Negative slope</v>
      </c>
    </row>
    <row r="53" spans="1:10" x14ac:dyDescent="0.2">
      <c r="A53" s="20">
        <v>41716</v>
      </c>
      <c r="B53">
        <v>100.08</v>
      </c>
      <c r="C53">
        <f>AVERAGE(B53:B72)</f>
        <v>101.18500000000002</v>
      </c>
      <c r="D53">
        <f>AVERAGE(C53:C152)</f>
        <v>102.43246999999998</v>
      </c>
      <c r="E53">
        <f>MIN(B53:B102)</f>
        <v>99.6</v>
      </c>
      <c r="F53">
        <f>MAX(B53:B102)</f>
        <v>105.01</v>
      </c>
      <c r="I53" t="str">
        <f t="shared" si="0"/>
        <v>Positive slope</v>
      </c>
      <c r="J53" t="str">
        <f t="shared" si="1"/>
        <v>Negative slope</v>
      </c>
    </row>
    <row r="54" spans="1:10" x14ac:dyDescent="0.2">
      <c r="A54" s="20">
        <v>41717</v>
      </c>
      <c r="B54">
        <v>100.71</v>
      </c>
      <c r="C54">
        <f>AVERAGE(B54:B73)</f>
        <v>101.366</v>
      </c>
      <c r="D54">
        <f>AVERAGE(C54:C153)</f>
        <v>102.37850999999999</v>
      </c>
      <c r="E54">
        <f>MIN(B54:B103)</f>
        <v>99.6</v>
      </c>
      <c r="F54">
        <f>MAX(B54:B103)</f>
        <v>105.01</v>
      </c>
      <c r="I54" t="str">
        <f t="shared" si="0"/>
        <v>Positive slope</v>
      </c>
      <c r="J54" t="str">
        <f t="shared" si="1"/>
        <v>Negative slope</v>
      </c>
    </row>
    <row r="55" spans="1:10" x14ac:dyDescent="0.2">
      <c r="A55" s="20">
        <v>41718</v>
      </c>
      <c r="B55">
        <v>99.68</v>
      </c>
      <c r="C55">
        <f>AVERAGE(B55:B74)</f>
        <v>101.51600000000002</v>
      </c>
      <c r="D55">
        <f>AVERAGE(C55:C154)</f>
        <v>102.32025499999997</v>
      </c>
      <c r="E55">
        <f>MIN(B55:B104)</f>
        <v>99.6</v>
      </c>
      <c r="F55">
        <f>MAX(B55:B104)</f>
        <v>105.01</v>
      </c>
      <c r="I55" t="str">
        <f t="shared" si="0"/>
        <v>Positive slope</v>
      </c>
      <c r="J55" t="str">
        <f t="shared" si="1"/>
        <v>Negative slope</v>
      </c>
    </row>
    <row r="56" spans="1:10" x14ac:dyDescent="0.2">
      <c r="A56" s="20">
        <v>41719</v>
      </c>
      <c r="B56">
        <v>99.97</v>
      </c>
      <c r="C56">
        <f>AVERAGE(B56:B75)</f>
        <v>101.74850000000001</v>
      </c>
      <c r="D56">
        <f>AVERAGE(C56:C155)</f>
        <v>102.25781999999998</v>
      </c>
      <c r="E56">
        <f>MIN(B56:B105)</f>
        <v>99.6</v>
      </c>
      <c r="F56">
        <f>MAX(B56:B105)</f>
        <v>105.01</v>
      </c>
      <c r="I56" t="str">
        <f t="shared" si="0"/>
        <v>Positive slope</v>
      </c>
      <c r="J56" t="str">
        <f t="shared" si="1"/>
        <v>Negative slope</v>
      </c>
    </row>
    <row r="57" spans="1:10" x14ac:dyDescent="0.2">
      <c r="A57" s="20">
        <v>41722</v>
      </c>
      <c r="B57">
        <v>100.05</v>
      </c>
      <c r="C57">
        <f>AVERAGE(B57:B76)</f>
        <v>101.96749999999999</v>
      </c>
      <c r="D57">
        <f>AVERAGE(C57:C156)</f>
        <v>102.19023499999996</v>
      </c>
      <c r="E57">
        <f>MIN(B57:B106)</f>
        <v>99.6</v>
      </c>
      <c r="F57">
        <f>MAX(B57:B106)</f>
        <v>105.01</v>
      </c>
      <c r="I57" t="str">
        <f t="shared" si="0"/>
        <v>Positive slope</v>
      </c>
      <c r="J57" t="str">
        <f t="shared" si="1"/>
        <v>Negative slope</v>
      </c>
    </row>
    <row r="58" spans="1:10" x14ac:dyDescent="0.2">
      <c r="A58" s="20">
        <v>41723</v>
      </c>
      <c r="B58">
        <v>99.66</v>
      </c>
      <c r="C58">
        <f>AVERAGE(B58:B77)</f>
        <v>102.04949999999999</v>
      </c>
      <c r="D58">
        <f>AVERAGE(C58:C157)</f>
        <v>102.11811999999996</v>
      </c>
      <c r="E58">
        <f>MIN(B58:B107)</f>
        <v>99.6</v>
      </c>
      <c r="F58">
        <f>MAX(B58:B107)</f>
        <v>105.01</v>
      </c>
      <c r="I58" t="str">
        <f t="shared" si="0"/>
        <v>Positive slope</v>
      </c>
      <c r="J58" t="str">
        <f t="shared" si="1"/>
        <v>Negative slope</v>
      </c>
    </row>
    <row r="59" spans="1:10" x14ac:dyDescent="0.2">
      <c r="A59" s="20">
        <v>41724</v>
      </c>
      <c r="B59">
        <v>100.61</v>
      </c>
      <c r="C59">
        <f>AVERAGE(B59:B78)</f>
        <v>102.13999999999999</v>
      </c>
      <c r="D59">
        <f>AVERAGE(C59:C158)</f>
        <v>102.04350499999993</v>
      </c>
      <c r="E59">
        <f>MIN(B59:B108)</f>
        <v>99.6</v>
      </c>
      <c r="F59">
        <f>MAX(B59:B108)</f>
        <v>105.01</v>
      </c>
      <c r="I59" t="str">
        <f t="shared" si="0"/>
        <v>Positive slope</v>
      </c>
      <c r="J59" t="str">
        <f t="shared" si="1"/>
        <v>Negative slope</v>
      </c>
    </row>
    <row r="60" spans="1:10" x14ac:dyDescent="0.2">
      <c r="A60" s="20">
        <v>41725</v>
      </c>
      <c r="B60">
        <v>101.25</v>
      </c>
      <c r="C60">
        <f>AVERAGE(B60:B79)</f>
        <v>102.21950000000001</v>
      </c>
      <c r="D60">
        <f>AVERAGE(C60:C159)</f>
        <v>101.96576499999993</v>
      </c>
      <c r="E60">
        <f>MIN(B60:B109)</f>
        <v>99.6</v>
      </c>
      <c r="F60">
        <f>MAX(B60:B109)</f>
        <v>105.01</v>
      </c>
      <c r="I60" t="str">
        <f t="shared" si="0"/>
        <v>Negative slope</v>
      </c>
      <c r="J60" t="str">
        <f t="shared" si="1"/>
        <v>Negative slope</v>
      </c>
    </row>
    <row r="61" spans="1:10" x14ac:dyDescent="0.2">
      <c r="A61" s="20">
        <v>41726</v>
      </c>
      <c r="B61">
        <v>101.73</v>
      </c>
      <c r="C61">
        <f>AVERAGE(B61:B80)</f>
        <v>102.19949999999999</v>
      </c>
      <c r="D61">
        <f>AVERAGE(C61:C160)</f>
        <v>101.88646499999996</v>
      </c>
      <c r="E61">
        <f>MIN(B61:B110)</f>
        <v>99.6</v>
      </c>
      <c r="F61">
        <f>MAX(B61:B110)</f>
        <v>105.09</v>
      </c>
      <c r="I61" t="str">
        <f t="shared" si="0"/>
        <v>Negative slope</v>
      </c>
      <c r="J61" t="str">
        <f t="shared" si="1"/>
        <v>Negative slope</v>
      </c>
    </row>
    <row r="62" spans="1:10" x14ac:dyDescent="0.2">
      <c r="A62" s="20">
        <v>41729</v>
      </c>
      <c r="B62">
        <v>101.57</v>
      </c>
      <c r="C62">
        <f>AVERAGE(B62:B81)</f>
        <v>102.1695</v>
      </c>
      <c r="D62">
        <f>AVERAGE(C62:C161)</f>
        <v>101.80735499999996</v>
      </c>
      <c r="E62">
        <f>MIN(B62:B111)</f>
        <v>99.6</v>
      </c>
      <c r="F62">
        <f>MAX(B62:B111)</f>
        <v>105.09</v>
      </c>
      <c r="I62" t="str">
        <f t="shared" si="0"/>
        <v>Negative slope</v>
      </c>
      <c r="J62" t="str">
        <f t="shared" si="1"/>
        <v>Negative slope</v>
      </c>
    </row>
    <row r="63" spans="1:10" x14ac:dyDescent="0.2">
      <c r="A63" s="20">
        <v>41730</v>
      </c>
      <c r="B63">
        <v>99.69</v>
      </c>
      <c r="C63">
        <f>AVERAGE(B63:B82)</f>
        <v>102.16899999999998</v>
      </c>
      <c r="D63">
        <f>AVERAGE(C63:C162)</f>
        <v>101.72687999999995</v>
      </c>
      <c r="E63">
        <f>MIN(B63:B112)</f>
        <v>99.6</v>
      </c>
      <c r="F63">
        <f>MAX(B63:B112)</f>
        <v>105.09</v>
      </c>
      <c r="I63" t="str">
        <f t="shared" si="0"/>
        <v>Positive slope</v>
      </c>
      <c r="J63" t="str">
        <f t="shared" si="1"/>
        <v>Negative slope</v>
      </c>
    </row>
    <row r="64" spans="1:10" x14ac:dyDescent="0.2">
      <c r="A64" s="20">
        <v>41731</v>
      </c>
      <c r="B64">
        <v>99.6</v>
      </c>
      <c r="C64">
        <f>AVERAGE(B64:B83)</f>
        <v>102.18799999999997</v>
      </c>
      <c r="D64">
        <f>AVERAGE(C64:C163)</f>
        <v>101.64563999999997</v>
      </c>
      <c r="E64">
        <f>MIN(B64:B113)</f>
        <v>99.6</v>
      </c>
      <c r="F64">
        <f>MAX(B64:B113)</f>
        <v>107.2</v>
      </c>
      <c r="I64" t="str">
        <f t="shared" si="0"/>
        <v>Positive slope</v>
      </c>
      <c r="J64" t="str">
        <f t="shared" si="1"/>
        <v>Negative slope</v>
      </c>
    </row>
    <row r="65" spans="1:10" x14ac:dyDescent="0.2">
      <c r="A65" s="20">
        <v>41732</v>
      </c>
      <c r="B65">
        <v>100.29</v>
      </c>
      <c r="C65">
        <f>AVERAGE(B65:B84)</f>
        <v>102.19249999999998</v>
      </c>
      <c r="D65">
        <f>AVERAGE(C65:C164)</f>
        <v>101.56313499999996</v>
      </c>
      <c r="E65">
        <f>MIN(B65:B114)</f>
        <v>99.69</v>
      </c>
      <c r="F65">
        <f>MAX(B65:B114)</f>
        <v>107.49</v>
      </c>
      <c r="I65" t="str">
        <f t="shared" si="0"/>
        <v>Negative slope</v>
      </c>
      <c r="J65" t="str">
        <f t="shared" si="1"/>
        <v>Negative slope</v>
      </c>
    </row>
    <row r="66" spans="1:10" x14ac:dyDescent="0.2">
      <c r="A66" s="20">
        <v>41733</v>
      </c>
      <c r="B66">
        <v>101.16</v>
      </c>
      <c r="C66">
        <f>AVERAGE(B66:B85)</f>
        <v>102.18249999999998</v>
      </c>
      <c r="D66">
        <f>AVERAGE(C66:C165)</f>
        <v>101.47866499999996</v>
      </c>
      <c r="E66">
        <f>MIN(B66:B115)</f>
        <v>99.69</v>
      </c>
      <c r="F66">
        <f>MAX(B66:B115)</f>
        <v>107.52</v>
      </c>
      <c r="I66" t="str">
        <f t="shared" si="0"/>
        <v>Negative slope</v>
      </c>
      <c r="J66" t="str">
        <f t="shared" si="1"/>
        <v>Negative slope</v>
      </c>
    </row>
    <row r="67" spans="1:10" x14ac:dyDescent="0.2">
      <c r="A67" s="20">
        <v>41736</v>
      </c>
      <c r="B67">
        <v>100.43</v>
      </c>
      <c r="C67">
        <f>AVERAGE(B67:B86)</f>
        <v>102.11149999999999</v>
      </c>
      <c r="D67">
        <f>AVERAGE(C67:C166)</f>
        <v>101.39320499999994</v>
      </c>
      <c r="E67">
        <f>MIN(B67:B116)</f>
        <v>99.69</v>
      </c>
      <c r="F67">
        <f>MAX(B67:B116)</f>
        <v>107.52</v>
      </c>
      <c r="I67" t="str">
        <f t="shared" ref="I67:I130" si="3">IF((C68-C67)&gt;0, "Positive slope", "Negative slope")</f>
        <v>Negative slope</v>
      </c>
      <c r="J67" t="str">
        <f t="shared" ref="J67:J130" si="4">IF((D68-D67)&gt;0, "Positive slope", "Negative slope")</f>
        <v>Negative slope</v>
      </c>
    </row>
    <row r="68" spans="1:10" x14ac:dyDescent="0.2">
      <c r="A68" s="20">
        <v>41737</v>
      </c>
      <c r="B68">
        <v>102.57</v>
      </c>
      <c r="C68">
        <f>AVERAGE(B68:B87)</f>
        <v>102.0805</v>
      </c>
      <c r="D68">
        <f>AVERAGE(C68:C167)</f>
        <v>101.30733999999998</v>
      </c>
      <c r="E68">
        <f>MIN(B68:B117)</f>
        <v>99.69</v>
      </c>
      <c r="F68">
        <f>MAX(B68:B117)</f>
        <v>107.52</v>
      </c>
      <c r="I68" t="str">
        <f t="shared" si="3"/>
        <v>Negative slope</v>
      </c>
      <c r="J68" t="str">
        <f t="shared" si="4"/>
        <v>Negative slope</v>
      </c>
    </row>
    <row r="69" spans="1:10" x14ac:dyDescent="0.2">
      <c r="A69" s="20">
        <v>41738</v>
      </c>
      <c r="B69">
        <v>103.55</v>
      </c>
      <c r="C69">
        <f>AVERAGE(B69:B88)</f>
        <v>102.00499999999998</v>
      </c>
      <c r="D69">
        <f>AVERAGE(C69:C168)</f>
        <v>101.22133999999994</v>
      </c>
      <c r="E69">
        <f>MIN(B69:B118)</f>
        <v>99.69</v>
      </c>
      <c r="F69">
        <f>MAX(B69:B118)</f>
        <v>107.52</v>
      </c>
      <c r="I69" t="str">
        <f t="shared" si="3"/>
        <v>Negative slope</v>
      </c>
      <c r="J69" t="str">
        <f t="shared" si="4"/>
        <v>Negative slope</v>
      </c>
    </row>
    <row r="70" spans="1:10" x14ac:dyDescent="0.2">
      <c r="A70" s="20">
        <v>41739</v>
      </c>
      <c r="B70">
        <v>103.37</v>
      </c>
      <c r="C70">
        <f>AVERAGE(B70:B89)</f>
        <v>101.8535</v>
      </c>
      <c r="D70">
        <f>AVERAGE(C70:C169)</f>
        <v>101.13442999999998</v>
      </c>
      <c r="E70">
        <f>MIN(B70:B119)</f>
        <v>99.69</v>
      </c>
      <c r="F70">
        <f>MAX(B70:B119)</f>
        <v>107.95</v>
      </c>
      <c r="I70" t="str">
        <f t="shared" si="3"/>
        <v>Negative slope</v>
      </c>
      <c r="J70" t="str">
        <f t="shared" si="4"/>
        <v>Negative slope</v>
      </c>
    </row>
    <row r="71" spans="1:10" x14ac:dyDescent="0.2">
      <c r="A71" s="20">
        <v>41740</v>
      </c>
      <c r="B71">
        <v>103.68</v>
      </c>
      <c r="C71">
        <f>AVERAGE(B71:B90)</f>
        <v>101.70099999999998</v>
      </c>
      <c r="D71">
        <f>AVERAGE(C71:C170)</f>
        <v>101.04816000000001</v>
      </c>
      <c r="E71">
        <f>MIN(B71:B120)</f>
        <v>99.69</v>
      </c>
      <c r="F71">
        <f>MAX(B71:B120)</f>
        <v>107.95</v>
      </c>
      <c r="I71" t="str">
        <f t="shared" si="3"/>
        <v>Negative slope</v>
      </c>
      <c r="J71" t="str">
        <f t="shared" si="4"/>
        <v>Negative slope</v>
      </c>
    </row>
    <row r="72" spans="1:10" x14ac:dyDescent="0.2">
      <c r="A72" s="20">
        <v>41743</v>
      </c>
      <c r="B72">
        <v>104.05</v>
      </c>
      <c r="C72">
        <f>AVERAGE(B72:B91)</f>
        <v>101.5615</v>
      </c>
      <c r="D72">
        <f>AVERAGE(C72:C171)</f>
        <v>100.961035</v>
      </c>
      <c r="E72">
        <f>MIN(B72:B121)</f>
        <v>99.69</v>
      </c>
      <c r="F72">
        <f>MAX(B72:B121)</f>
        <v>107.95</v>
      </c>
      <c r="I72" t="str">
        <f t="shared" si="3"/>
        <v>Negative slope</v>
      </c>
      <c r="J72" t="str">
        <f t="shared" si="4"/>
        <v>Negative slope</v>
      </c>
    </row>
    <row r="73" spans="1:10" x14ac:dyDescent="0.2">
      <c r="A73" s="20">
        <v>41744</v>
      </c>
      <c r="B73">
        <v>103.7</v>
      </c>
      <c r="C73">
        <f>AVERAGE(B73:B92)</f>
        <v>101.45949999999999</v>
      </c>
      <c r="D73">
        <f>AVERAGE(C73:C172)</f>
        <v>100.87355999999996</v>
      </c>
      <c r="E73">
        <f>MIN(B73:B122)</f>
        <v>99.69</v>
      </c>
      <c r="F73">
        <f>MAX(B73:B122)</f>
        <v>107.95</v>
      </c>
      <c r="I73" t="str">
        <f t="shared" si="3"/>
        <v>Negative slope</v>
      </c>
      <c r="J73" t="str">
        <f t="shared" si="4"/>
        <v>Negative slope</v>
      </c>
    </row>
    <row r="74" spans="1:10" x14ac:dyDescent="0.2">
      <c r="A74" s="20">
        <v>41745</v>
      </c>
      <c r="B74">
        <v>103.71</v>
      </c>
      <c r="C74">
        <f>AVERAGE(B74:B93)</f>
        <v>101.40599999999999</v>
      </c>
      <c r="D74">
        <f>AVERAGE(C74:C173)</f>
        <v>100.785325</v>
      </c>
      <c r="E74">
        <f>MIN(B74:B123)</f>
        <v>99.69</v>
      </c>
      <c r="F74">
        <f>MAX(B74:B123)</f>
        <v>107.95</v>
      </c>
      <c r="I74" t="str">
        <f t="shared" si="3"/>
        <v>Negative slope</v>
      </c>
      <c r="J74" t="str">
        <f t="shared" si="4"/>
        <v>Negative slope</v>
      </c>
    </row>
    <row r="75" spans="1:10" x14ac:dyDescent="0.2">
      <c r="A75" s="20">
        <v>41746</v>
      </c>
      <c r="B75">
        <v>104.33</v>
      </c>
      <c r="C75">
        <f>AVERAGE(B75:B94)</f>
        <v>101.30749999999999</v>
      </c>
      <c r="D75">
        <f>AVERAGE(C75:C174)</f>
        <v>100.69646999999998</v>
      </c>
      <c r="E75">
        <f>MIN(B75:B124)</f>
        <v>99.69</v>
      </c>
      <c r="F75">
        <f>MAX(B75:B124)</f>
        <v>107.95</v>
      </c>
      <c r="I75" t="str">
        <f t="shared" si="3"/>
        <v>Negative slope</v>
      </c>
      <c r="J75" t="str">
        <f t="shared" si="4"/>
        <v>Negative slope</v>
      </c>
    </row>
    <row r="76" spans="1:10" x14ac:dyDescent="0.2">
      <c r="A76" s="20">
        <v>41750</v>
      </c>
      <c r="B76">
        <v>104.35</v>
      </c>
      <c r="C76">
        <f>AVERAGE(B76:B95)</f>
        <v>101.20649999999999</v>
      </c>
      <c r="D76">
        <f>AVERAGE(C76:C175)</f>
        <v>100.60668000000001</v>
      </c>
      <c r="E76">
        <f>MIN(B76:B125)</f>
        <v>99.69</v>
      </c>
      <c r="F76">
        <f>MAX(B76:B125)</f>
        <v>107.95</v>
      </c>
      <c r="I76" t="str">
        <f t="shared" si="3"/>
        <v>Negative slope</v>
      </c>
      <c r="J76" t="str">
        <f t="shared" si="4"/>
        <v>Negative slope</v>
      </c>
    </row>
    <row r="77" spans="1:10" x14ac:dyDescent="0.2">
      <c r="A77" s="20">
        <v>41751</v>
      </c>
      <c r="B77">
        <v>101.69</v>
      </c>
      <c r="C77">
        <f>AVERAGE(B77:B96)</f>
        <v>101.1365</v>
      </c>
      <c r="D77">
        <f>AVERAGE(C77:C176)</f>
        <v>100.51569000000001</v>
      </c>
      <c r="E77">
        <f>MIN(B77:B126)</f>
        <v>99.69</v>
      </c>
      <c r="F77">
        <f>MAX(B77:B126)</f>
        <v>107.95</v>
      </c>
      <c r="I77" t="str">
        <f t="shared" si="3"/>
        <v>Positive slope</v>
      </c>
      <c r="J77" t="str">
        <f t="shared" si="4"/>
        <v>Negative slope</v>
      </c>
    </row>
    <row r="78" spans="1:10" x14ac:dyDescent="0.2">
      <c r="A78" s="20">
        <v>41752</v>
      </c>
      <c r="B78">
        <v>101.47</v>
      </c>
      <c r="C78">
        <f>AVERAGE(B78:B97)</f>
        <v>101.19199999999999</v>
      </c>
      <c r="D78">
        <f>AVERAGE(C78:C177)</f>
        <v>100.42183500000002</v>
      </c>
      <c r="E78">
        <f>MIN(B78:B127)</f>
        <v>99.69</v>
      </c>
      <c r="F78">
        <f>MAX(B78:B127)</f>
        <v>107.95</v>
      </c>
      <c r="I78" t="str">
        <f t="shared" si="3"/>
        <v>Positive slope</v>
      </c>
      <c r="J78" t="str">
        <f t="shared" si="4"/>
        <v>Negative slope</v>
      </c>
    </row>
    <row r="79" spans="1:10" x14ac:dyDescent="0.2">
      <c r="A79" s="20">
        <v>41753</v>
      </c>
      <c r="B79">
        <v>102.2</v>
      </c>
      <c r="C79">
        <f>AVERAGE(B79:B98)</f>
        <v>101.334</v>
      </c>
      <c r="D79">
        <f>AVERAGE(C79:C178)</f>
        <v>100.32427000000001</v>
      </c>
      <c r="E79">
        <f>MIN(B79:B128)</f>
        <v>99.69</v>
      </c>
      <c r="F79">
        <f>MAX(B79:B128)</f>
        <v>107.95</v>
      </c>
      <c r="I79" t="str">
        <f t="shared" si="3"/>
        <v>Positive slope</v>
      </c>
      <c r="J79" t="str">
        <f t="shared" si="4"/>
        <v>Negative slope</v>
      </c>
    </row>
    <row r="80" spans="1:10" x14ac:dyDescent="0.2">
      <c r="A80" s="20">
        <v>41754</v>
      </c>
      <c r="B80">
        <v>100.85</v>
      </c>
      <c r="C80">
        <f>AVERAGE(B80:B99)</f>
        <v>101.42549999999999</v>
      </c>
      <c r="D80">
        <f>AVERAGE(C80:C179)</f>
        <v>100.22171999999999</v>
      </c>
      <c r="E80">
        <f>MIN(B80:B129)</f>
        <v>99.69</v>
      </c>
      <c r="F80">
        <f>MAX(B80:B129)</f>
        <v>107.95</v>
      </c>
      <c r="I80" t="str">
        <f t="shared" si="3"/>
        <v>Positive slope</v>
      </c>
      <c r="J80" t="str">
        <f t="shared" si="4"/>
        <v>Negative slope</v>
      </c>
    </row>
    <row r="81" spans="1:13" x14ac:dyDescent="0.2">
      <c r="A81" s="20">
        <v>41757</v>
      </c>
      <c r="B81">
        <v>101.13</v>
      </c>
      <c r="C81">
        <f>AVERAGE(B81:B100)</f>
        <v>101.6335</v>
      </c>
      <c r="D81">
        <f>AVERAGE(C81:C180)</f>
        <v>100.11165999999997</v>
      </c>
      <c r="E81">
        <f>MIN(B81:B130)</f>
        <v>99.69</v>
      </c>
      <c r="F81">
        <f>MAX(B81:B130)</f>
        <v>107.95</v>
      </c>
      <c r="I81" t="str">
        <f t="shared" si="3"/>
        <v>Positive slope</v>
      </c>
      <c r="J81" t="str">
        <f t="shared" si="4"/>
        <v>Negative slope</v>
      </c>
    </row>
    <row r="82" spans="1:13" x14ac:dyDescent="0.2">
      <c r="A82" s="20">
        <v>41758</v>
      </c>
      <c r="B82">
        <v>101.56</v>
      </c>
      <c r="C82">
        <f>AVERAGE(B82:B101)</f>
        <v>101.81599999999999</v>
      </c>
      <c r="D82">
        <f>AVERAGE(C82:C181)</f>
        <v>99.99326499999998</v>
      </c>
      <c r="E82">
        <f>MIN(B82:B131)</f>
        <v>99.69</v>
      </c>
      <c r="F82">
        <f>MAX(B82:B131)</f>
        <v>107.95</v>
      </c>
      <c r="I82" t="str">
        <f t="shared" si="3"/>
        <v>Positive slope</v>
      </c>
      <c r="J82" t="str">
        <f t="shared" si="4"/>
        <v>Negative slope</v>
      </c>
    </row>
    <row r="83" spans="1:13" x14ac:dyDescent="0.2">
      <c r="A83" s="20">
        <v>41759</v>
      </c>
      <c r="B83">
        <v>100.07</v>
      </c>
      <c r="C83">
        <f>AVERAGE(B83:B102)</f>
        <v>101.90649999999998</v>
      </c>
      <c r="D83">
        <f>AVERAGE(C83:C182)</f>
        <v>99.867674999999977</v>
      </c>
      <c r="E83">
        <f>MIN(B83:B132)</f>
        <v>99.69</v>
      </c>
      <c r="F83">
        <f>MAX(B83:B132)</f>
        <v>107.95</v>
      </c>
      <c r="I83" t="str">
        <f t="shared" si="3"/>
        <v>Positive slope</v>
      </c>
      <c r="J83" t="str">
        <f t="shared" si="4"/>
        <v>Negative slope</v>
      </c>
      <c r="M83" t="s">
        <v>71</v>
      </c>
    </row>
    <row r="84" spans="1:13" x14ac:dyDescent="0.2">
      <c r="A84" s="20">
        <v>41760</v>
      </c>
      <c r="B84">
        <v>99.69</v>
      </c>
      <c r="C84">
        <f>AVERAGE(B84:B103)</f>
        <v>102.116</v>
      </c>
      <c r="D84">
        <f>AVERAGE(C84:C183)</f>
        <v>99.736365000000006</v>
      </c>
      <c r="E84">
        <f>MIN(B84:B133)</f>
        <v>99.69</v>
      </c>
      <c r="F84">
        <f>MAX(B84:B133)</f>
        <v>107.95</v>
      </c>
      <c r="I84" t="str">
        <f t="shared" si="3"/>
        <v>Positive slope</v>
      </c>
      <c r="J84" t="str">
        <f t="shared" si="4"/>
        <v>Negative slope</v>
      </c>
    </row>
    <row r="85" spans="1:13" x14ac:dyDescent="0.2">
      <c r="A85" s="20">
        <v>41761</v>
      </c>
      <c r="B85">
        <v>100.09</v>
      </c>
      <c r="C85">
        <f>AVERAGE(B85:B104)</f>
        <v>102.3015</v>
      </c>
      <c r="D85">
        <f>AVERAGE(C85:C184)</f>
        <v>99.598609999999994</v>
      </c>
      <c r="E85">
        <f>MIN(B85:B134)</f>
        <v>99.74</v>
      </c>
      <c r="F85">
        <f>MAX(B85:B134)</f>
        <v>107.95</v>
      </c>
      <c r="I85" t="str">
        <f t="shared" si="3"/>
        <v>Positive slope</v>
      </c>
      <c r="J85" t="str">
        <f t="shared" si="4"/>
        <v>Negative slope</v>
      </c>
    </row>
    <row r="86" spans="1:13" x14ac:dyDescent="0.2">
      <c r="A86" s="20">
        <v>41764</v>
      </c>
      <c r="B86">
        <v>99.74</v>
      </c>
      <c r="C86">
        <f>AVERAGE(B86:B105)</f>
        <v>102.45049999999999</v>
      </c>
      <c r="D86">
        <f>AVERAGE(C86:C185)</f>
        <v>99.454849999999993</v>
      </c>
      <c r="E86">
        <f>MIN(B86:B135)</f>
        <v>99.74</v>
      </c>
      <c r="F86">
        <f>MAX(B86:B135)</f>
        <v>107.95</v>
      </c>
      <c r="I86" t="str">
        <f t="shared" si="3"/>
        <v>Positive slope</v>
      </c>
      <c r="J86" t="str">
        <f t="shared" si="4"/>
        <v>Negative slope</v>
      </c>
    </row>
    <row r="87" spans="1:13" x14ac:dyDescent="0.2">
      <c r="A87" s="20">
        <v>41765</v>
      </c>
      <c r="B87">
        <v>99.81</v>
      </c>
      <c r="C87">
        <f>AVERAGE(B87:B106)</f>
        <v>102.63050000000001</v>
      </c>
      <c r="D87">
        <f>AVERAGE(C87:C186)</f>
        <v>99.303059999999988</v>
      </c>
      <c r="E87">
        <f>MIN(B87:B136)</f>
        <v>99.81</v>
      </c>
      <c r="F87">
        <f>MAX(B87:B136)</f>
        <v>107.95</v>
      </c>
      <c r="I87" t="str">
        <f t="shared" si="3"/>
        <v>Positive slope</v>
      </c>
      <c r="J87" t="str">
        <f t="shared" si="4"/>
        <v>Negative slope</v>
      </c>
    </row>
    <row r="88" spans="1:13" x14ac:dyDescent="0.2">
      <c r="A88" s="20">
        <v>41766</v>
      </c>
      <c r="B88">
        <v>101.06</v>
      </c>
      <c r="C88">
        <f>AVERAGE(B88:B107)</f>
        <v>102.80350000000001</v>
      </c>
      <c r="D88">
        <f>AVERAGE(C88:C187)</f>
        <v>99.144079999999974</v>
      </c>
      <c r="E88">
        <f>MIN(B88:B137)</f>
        <v>100.32</v>
      </c>
      <c r="F88">
        <f>MAX(B88:B137)</f>
        <v>107.95</v>
      </c>
      <c r="I88" t="str">
        <f t="shared" si="3"/>
        <v>Positive slope</v>
      </c>
      <c r="J88" t="str">
        <f t="shared" si="4"/>
        <v>Negative slope</v>
      </c>
    </row>
    <row r="89" spans="1:13" x14ac:dyDescent="0.2">
      <c r="A89" s="20">
        <v>41767</v>
      </c>
      <c r="B89">
        <v>100.52</v>
      </c>
      <c r="C89">
        <f>AVERAGE(B89:B108)</f>
        <v>102.90899999999996</v>
      </c>
      <c r="D89">
        <f>AVERAGE(C89:C188)</f>
        <v>98.976229999999973</v>
      </c>
      <c r="E89">
        <f>MIN(B89:B138)</f>
        <v>100.32</v>
      </c>
      <c r="F89">
        <f>MAX(B89:B138)</f>
        <v>107.95</v>
      </c>
      <c r="I89" t="str">
        <f t="shared" si="3"/>
        <v>Positive slope</v>
      </c>
      <c r="J89" t="str">
        <f t="shared" si="4"/>
        <v>Negative slope</v>
      </c>
    </row>
    <row r="90" spans="1:13" x14ac:dyDescent="0.2">
      <c r="A90" s="20">
        <v>41768</v>
      </c>
      <c r="B90">
        <v>100.32</v>
      </c>
      <c r="C90">
        <f>AVERAGE(B90:B109)</f>
        <v>103.04900000000001</v>
      </c>
      <c r="D90">
        <f>AVERAGE(C90:C189)</f>
        <v>98.800689999999975</v>
      </c>
      <c r="E90">
        <f>MIN(B90:B139)</f>
        <v>100.32</v>
      </c>
      <c r="F90">
        <f>MAX(B90:B139)</f>
        <v>107.95</v>
      </c>
      <c r="I90" t="str">
        <f t="shared" si="3"/>
        <v>Positive slope</v>
      </c>
      <c r="J90" t="str">
        <f t="shared" si="4"/>
        <v>Negative slope</v>
      </c>
    </row>
    <row r="91" spans="1:13" x14ac:dyDescent="0.2">
      <c r="A91" s="20">
        <v>41771</v>
      </c>
      <c r="B91">
        <v>100.89</v>
      </c>
      <c r="C91">
        <f>AVERAGE(B91:B110)</f>
        <v>103.28749999999999</v>
      </c>
      <c r="D91">
        <f>AVERAGE(C91:C190)</f>
        <v>98.618844999999979</v>
      </c>
      <c r="E91">
        <f>MIN(B91:B140)</f>
        <v>100.56</v>
      </c>
      <c r="F91">
        <f>MAX(B91:B140)</f>
        <v>107.95</v>
      </c>
      <c r="I91" t="str">
        <f t="shared" si="3"/>
        <v>Positive slope</v>
      </c>
      <c r="J91" t="str">
        <f t="shared" si="4"/>
        <v>Negative slope</v>
      </c>
    </row>
    <row r="92" spans="1:13" x14ac:dyDescent="0.2">
      <c r="A92" s="20">
        <v>41772</v>
      </c>
      <c r="B92">
        <v>102.01</v>
      </c>
      <c r="C92">
        <f>AVERAGE(B92:B111)</f>
        <v>103.494</v>
      </c>
      <c r="D92">
        <f>AVERAGE(C92:C191)</f>
        <v>98.430369999999982</v>
      </c>
      <c r="E92">
        <f>MIN(B92:B141)</f>
        <v>100.56</v>
      </c>
      <c r="F92">
        <f>MAX(B92:B141)</f>
        <v>107.95</v>
      </c>
      <c r="I92" t="str">
        <f t="shared" si="3"/>
        <v>Positive slope</v>
      </c>
      <c r="J92" t="str">
        <f t="shared" si="4"/>
        <v>Negative slope</v>
      </c>
    </row>
    <row r="93" spans="1:13" x14ac:dyDescent="0.2">
      <c r="A93" s="20">
        <v>41773</v>
      </c>
      <c r="B93">
        <v>102.63</v>
      </c>
      <c r="C93">
        <f>AVERAGE(B93:B112)</f>
        <v>103.6455</v>
      </c>
      <c r="D93">
        <f>AVERAGE(C93:C192)</f>
        <v>98.234849999999966</v>
      </c>
      <c r="E93">
        <f>MIN(B93:B142)</f>
        <v>100.56</v>
      </c>
      <c r="F93">
        <f>MAX(B93:B142)</f>
        <v>107.95</v>
      </c>
      <c r="I93" t="str">
        <f t="shared" si="3"/>
        <v>Positive slope</v>
      </c>
      <c r="J93" t="str">
        <f t="shared" si="4"/>
        <v>Negative slope</v>
      </c>
    </row>
    <row r="94" spans="1:13" x14ac:dyDescent="0.2">
      <c r="A94" s="20">
        <v>41774</v>
      </c>
      <c r="B94">
        <v>101.74</v>
      </c>
      <c r="C94">
        <f>AVERAGE(B94:B113)</f>
        <v>103.87399999999998</v>
      </c>
      <c r="D94">
        <f>AVERAGE(C94:C193)</f>
        <v>98.033199999999979</v>
      </c>
      <c r="E94">
        <f>MIN(B94:B143)</f>
        <v>100.56</v>
      </c>
      <c r="F94">
        <f>MAX(B94:B143)</f>
        <v>107.95</v>
      </c>
      <c r="I94" t="str">
        <f t="shared" si="3"/>
        <v>Positive slope</v>
      </c>
      <c r="J94" t="str">
        <f t="shared" si="4"/>
        <v>Negative slope</v>
      </c>
    </row>
    <row r="95" spans="1:13" x14ac:dyDescent="0.2">
      <c r="A95" s="20">
        <v>41775</v>
      </c>
      <c r="B95">
        <v>102.31</v>
      </c>
      <c r="C95">
        <f>AVERAGE(B95:B114)</f>
        <v>104.16149999999998</v>
      </c>
      <c r="D95">
        <f>AVERAGE(C95:C194)</f>
        <v>97.823484999999962</v>
      </c>
      <c r="E95">
        <f>MIN(B95:B144)</f>
        <v>100.56</v>
      </c>
      <c r="F95">
        <f>MAX(B95:B144)</f>
        <v>107.95</v>
      </c>
      <c r="I95" t="str">
        <f t="shared" si="3"/>
        <v>Positive slope</v>
      </c>
      <c r="J95" t="str">
        <f t="shared" si="4"/>
        <v>Negative slope</v>
      </c>
    </row>
    <row r="96" spans="1:13" x14ac:dyDescent="0.2">
      <c r="A96" s="20">
        <v>41778</v>
      </c>
      <c r="B96">
        <v>102.95</v>
      </c>
      <c r="C96">
        <f>AVERAGE(B96:B115)</f>
        <v>104.422</v>
      </c>
      <c r="D96">
        <f>AVERAGE(C96:C195)</f>
        <v>97.605024999999983</v>
      </c>
      <c r="E96">
        <f>MIN(B96:B145)</f>
        <v>100.56</v>
      </c>
      <c r="F96">
        <f>MAX(B96:B145)</f>
        <v>107.95</v>
      </c>
      <c r="I96" t="str">
        <f t="shared" si="3"/>
        <v>Positive slope</v>
      </c>
      <c r="J96" t="str">
        <f t="shared" si="4"/>
        <v>Negative slope</v>
      </c>
    </row>
    <row r="97" spans="1:10" x14ac:dyDescent="0.2">
      <c r="A97" s="20">
        <v>41779</v>
      </c>
      <c r="B97">
        <v>102.8</v>
      </c>
      <c r="C97">
        <f>AVERAGE(B97:B116)</f>
        <v>104.62199999999999</v>
      </c>
      <c r="D97">
        <f>AVERAGE(C97:C196)</f>
        <v>97.37966999999999</v>
      </c>
      <c r="E97">
        <f>MIN(B97:B146)</f>
        <v>100.56</v>
      </c>
      <c r="F97">
        <f>MAX(B97:B146)</f>
        <v>107.95</v>
      </c>
      <c r="I97" t="str">
        <f t="shared" si="3"/>
        <v>Positive slope</v>
      </c>
      <c r="J97" t="str">
        <f t="shared" si="4"/>
        <v>Negative slope</v>
      </c>
    </row>
    <row r="98" spans="1:10" x14ac:dyDescent="0.2">
      <c r="A98" s="20">
        <v>41780</v>
      </c>
      <c r="B98">
        <v>104.31</v>
      </c>
      <c r="C98">
        <f>AVERAGE(B98:B117)</f>
        <v>104.81400000000001</v>
      </c>
      <c r="D98">
        <f>AVERAGE(C98:C197)</f>
        <v>97.14837</v>
      </c>
      <c r="E98">
        <f>MIN(B98:B147)</f>
        <v>98.23</v>
      </c>
      <c r="F98">
        <f>MAX(B98:B147)</f>
        <v>107.95</v>
      </c>
      <c r="I98" t="str">
        <f t="shared" si="3"/>
        <v>Positive slope</v>
      </c>
      <c r="J98" t="str">
        <f t="shared" si="4"/>
        <v>Negative slope</v>
      </c>
    </row>
    <row r="99" spans="1:10" x14ac:dyDescent="0.2">
      <c r="A99" s="20">
        <v>41781</v>
      </c>
      <c r="B99">
        <v>104.03</v>
      </c>
      <c r="C99">
        <f>AVERAGE(B99:B118)</f>
        <v>104.95250000000001</v>
      </c>
      <c r="D99">
        <f>AVERAGE(C99:C198)</f>
        <v>96.911569999999998</v>
      </c>
      <c r="E99">
        <f>MIN(B99:B148)</f>
        <v>97.86</v>
      </c>
      <c r="F99">
        <f>MAX(B99:B148)</f>
        <v>107.95</v>
      </c>
      <c r="I99" t="str">
        <f t="shared" si="3"/>
        <v>Positive slope</v>
      </c>
      <c r="J99" t="str">
        <f t="shared" si="4"/>
        <v>Negative slope</v>
      </c>
    </row>
    <row r="100" spans="1:10" x14ac:dyDescent="0.2">
      <c r="A100" s="20">
        <v>41782</v>
      </c>
      <c r="B100">
        <v>105.01</v>
      </c>
      <c r="C100">
        <f>AVERAGE(B100:B119)</f>
        <v>105.14849999999998</v>
      </c>
      <c r="D100">
        <f>AVERAGE(C100:C199)</f>
        <v>96.669234999999986</v>
      </c>
      <c r="E100">
        <f>MIN(B100:B149)</f>
        <v>97.86</v>
      </c>
      <c r="F100">
        <f>MAX(B100:B149)</f>
        <v>107.95</v>
      </c>
      <c r="I100" t="str">
        <f t="shared" si="3"/>
        <v>Positive slope</v>
      </c>
      <c r="J100" t="str">
        <f t="shared" si="4"/>
        <v>Negative slope</v>
      </c>
    </row>
    <row r="101" spans="1:10" x14ac:dyDescent="0.2">
      <c r="A101" s="20">
        <v>41786</v>
      </c>
      <c r="B101">
        <v>104.78</v>
      </c>
      <c r="C101">
        <f>AVERAGE(B101:B120)</f>
        <v>105.23949999999999</v>
      </c>
      <c r="D101">
        <f>AVERAGE(C101:C200)</f>
        <v>96.423004999999989</v>
      </c>
      <c r="E101">
        <f>MIN(B101:B150)</f>
        <v>97.34</v>
      </c>
      <c r="F101">
        <f>MAX(B101:B150)</f>
        <v>107.95</v>
      </c>
      <c r="I101" t="str">
        <f t="shared" si="3"/>
        <v>Positive slope</v>
      </c>
      <c r="J101" t="str">
        <f t="shared" si="4"/>
        <v>Negative slope</v>
      </c>
    </row>
    <row r="102" spans="1:10" x14ac:dyDescent="0.2">
      <c r="A102" s="20">
        <v>41787</v>
      </c>
      <c r="B102">
        <v>103.37</v>
      </c>
      <c r="C102">
        <f>AVERAGE(B102:B121)</f>
        <v>105.33250000000001</v>
      </c>
      <c r="D102">
        <f>AVERAGE(C102:C201)</f>
        <v>96.173534999999973</v>
      </c>
      <c r="E102">
        <f>MIN(B102:B151)</f>
        <v>96.93</v>
      </c>
      <c r="F102">
        <f>MAX(B102:B151)</f>
        <v>107.95</v>
      </c>
      <c r="I102" t="str">
        <f t="shared" si="3"/>
        <v>Positive slope</v>
      </c>
      <c r="J102" t="str">
        <f t="shared" si="4"/>
        <v>Negative slope</v>
      </c>
    </row>
    <row r="103" spans="1:10" x14ac:dyDescent="0.2">
      <c r="A103" s="20">
        <v>41788</v>
      </c>
      <c r="B103">
        <v>104.26</v>
      </c>
      <c r="C103">
        <f>AVERAGE(B103:B122)</f>
        <v>105.51600000000001</v>
      </c>
      <c r="D103">
        <f>AVERAGE(C103:C202)</f>
        <v>95.91903499999998</v>
      </c>
      <c r="E103">
        <f>MIN(B103:B152)</f>
        <v>96.93</v>
      </c>
      <c r="F103">
        <f>MAX(B103:B152)</f>
        <v>107.95</v>
      </c>
      <c r="I103" t="str">
        <f t="shared" si="3"/>
        <v>Positive slope</v>
      </c>
      <c r="J103" t="str">
        <f t="shared" si="4"/>
        <v>Negative slope</v>
      </c>
    </row>
    <row r="104" spans="1:10" x14ac:dyDescent="0.2">
      <c r="A104" s="20">
        <v>41789</v>
      </c>
      <c r="B104">
        <v>103.4</v>
      </c>
      <c r="C104">
        <f>AVERAGE(B104:B123)</f>
        <v>105.62749999999998</v>
      </c>
      <c r="D104">
        <f>AVERAGE(C104:C203)</f>
        <v>95.659254999999973</v>
      </c>
      <c r="E104">
        <f>MIN(B104:B153)</f>
        <v>96.93</v>
      </c>
      <c r="F104">
        <f>MAX(B104:B153)</f>
        <v>107.95</v>
      </c>
      <c r="I104" t="str">
        <f t="shared" si="3"/>
        <v>Positive slope</v>
      </c>
      <c r="J104" t="str">
        <f t="shared" si="4"/>
        <v>Negative slope</v>
      </c>
    </row>
    <row r="105" spans="1:10" x14ac:dyDescent="0.2">
      <c r="A105" s="20">
        <v>41792</v>
      </c>
      <c r="B105">
        <v>103.07</v>
      </c>
      <c r="C105">
        <f>AVERAGE(B105:B124)</f>
        <v>105.7805</v>
      </c>
      <c r="D105">
        <f>AVERAGE(C105:C204)</f>
        <v>95.394799999999975</v>
      </c>
      <c r="E105">
        <f>MIN(B105:B154)</f>
        <v>96.93</v>
      </c>
      <c r="F105">
        <f>MAX(B105:B154)</f>
        <v>107.95</v>
      </c>
      <c r="I105" t="str">
        <f t="shared" si="3"/>
        <v>Positive slope</v>
      </c>
      <c r="J105" t="str">
        <f t="shared" si="4"/>
        <v>Negative slope</v>
      </c>
    </row>
    <row r="106" spans="1:10" x14ac:dyDescent="0.2">
      <c r="A106" s="20">
        <v>41793</v>
      </c>
      <c r="B106">
        <v>103.34</v>
      </c>
      <c r="C106">
        <f>AVERAGE(B106:B125)</f>
        <v>105.93050000000001</v>
      </c>
      <c r="D106">
        <f>AVERAGE(C106:C205)</f>
        <v>95.124464999999987</v>
      </c>
      <c r="E106">
        <f>MIN(B106:B155)</f>
        <v>96.93</v>
      </c>
      <c r="F106">
        <f>MAX(B106:B155)</f>
        <v>107.95</v>
      </c>
      <c r="I106" t="str">
        <f t="shared" si="3"/>
        <v>Positive slope</v>
      </c>
      <c r="J106" t="str">
        <f t="shared" si="4"/>
        <v>Negative slope</v>
      </c>
    </row>
    <row r="107" spans="1:10" x14ac:dyDescent="0.2">
      <c r="A107" s="20">
        <v>41794</v>
      </c>
      <c r="B107">
        <v>103.27</v>
      </c>
      <c r="C107">
        <f>AVERAGE(B107:B126)</f>
        <v>106.06649999999999</v>
      </c>
      <c r="D107">
        <f>AVERAGE(C107:C206)</f>
        <v>94.849644999999967</v>
      </c>
      <c r="E107">
        <f>MIN(B107:B156)</f>
        <v>96.93</v>
      </c>
      <c r="F107">
        <f>MAX(B107:B156)</f>
        <v>107.95</v>
      </c>
      <c r="I107" t="str">
        <f t="shared" si="3"/>
        <v>Positive slope</v>
      </c>
      <c r="J107" t="str">
        <f t="shared" si="4"/>
        <v>Negative slope</v>
      </c>
    </row>
    <row r="108" spans="1:10" x14ac:dyDescent="0.2">
      <c r="A108" s="20">
        <v>41795</v>
      </c>
      <c r="B108">
        <v>103.17</v>
      </c>
      <c r="C108">
        <f>AVERAGE(B108:B127)</f>
        <v>106.16199999999999</v>
      </c>
      <c r="D108">
        <f>AVERAGE(C108:C207)</f>
        <v>94.569874999999968</v>
      </c>
      <c r="E108">
        <f>MIN(B108:B157)</f>
        <v>95.54</v>
      </c>
      <c r="F108">
        <f>MAX(B108:B157)</f>
        <v>107.95</v>
      </c>
      <c r="I108" t="str">
        <f t="shared" si="3"/>
        <v>Positive slope</v>
      </c>
      <c r="J108" t="str">
        <f t="shared" si="4"/>
        <v>Negative slope</v>
      </c>
    </row>
    <row r="109" spans="1:10" x14ac:dyDescent="0.2">
      <c r="A109" s="20">
        <v>41796</v>
      </c>
      <c r="B109">
        <v>103.32</v>
      </c>
      <c r="C109">
        <f>AVERAGE(B109:B128)</f>
        <v>106.24150000000002</v>
      </c>
      <c r="D109">
        <f>AVERAGE(C109:C208)</f>
        <v>94.286774999999977</v>
      </c>
      <c r="E109">
        <f>MIN(B109:B158)</f>
        <v>95.54</v>
      </c>
      <c r="F109">
        <f>MAX(B109:B158)</f>
        <v>107.95</v>
      </c>
      <c r="I109" t="str">
        <f t="shared" si="3"/>
        <v>Positive slope</v>
      </c>
      <c r="J109" t="str">
        <f t="shared" si="4"/>
        <v>Negative slope</v>
      </c>
    </row>
    <row r="110" spans="1:10" x14ac:dyDescent="0.2">
      <c r="A110" s="20">
        <v>41799</v>
      </c>
      <c r="B110">
        <v>105.09</v>
      </c>
      <c r="C110">
        <f>AVERAGE(B110:B129)</f>
        <v>106.285</v>
      </c>
      <c r="D110">
        <f>AVERAGE(C110:C209)</f>
        <v>94.000119999999953</v>
      </c>
      <c r="E110">
        <f>MIN(B110:B159)</f>
        <v>95.54</v>
      </c>
      <c r="F110">
        <f>MAX(B110:B159)</f>
        <v>107.95</v>
      </c>
      <c r="I110" t="str">
        <f t="shared" si="3"/>
        <v>Negative slope</v>
      </c>
      <c r="J110" t="str">
        <f t="shared" si="4"/>
        <v>Negative slope</v>
      </c>
    </row>
    <row r="111" spans="1:10" x14ac:dyDescent="0.2">
      <c r="A111" s="20">
        <v>41800</v>
      </c>
      <c r="B111">
        <v>105.02</v>
      </c>
      <c r="C111">
        <f>AVERAGE(B111:B130)</f>
        <v>106.23350000000001</v>
      </c>
      <c r="D111">
        <f>AVERAGE(C111:C210)</f>
        <v>93.70936999999995</v>
      </c>
      <c r="E111">
        <f>MIN(B111:B160)</f>
        <v>94.35</v>
      </c>
      <c r="F111">
        <f>MAX(B111:B160)</f>
        <v>107.95</v>
      </c>
      <c r="I111" t="str">
        <f t="shared" si="3"/>
        <v>Negative slope</v>
      </c>
      <c r="J111" t="str">
        <f t="shared" si="4"/>
        <v>Negative slope</v>
      </c>
    </row>
    <row r="112" spans="1:10" x14ac:dyDescent="0.2">
      <c r="A112" s="20">
        <v>41801</v>
      </c>
      <c r="B112">
        <v>105.04</v>
      </c>
      <c r="C112">
        <f>AVERAGE(B112:B131)</f>
        <v>106.12899999999999</v>
      </c>
      <c r="D112">
        <f>AVERAGE(C112:C211)</f>
        <v>93.414859999999919</v>
      </c>
      <c r="E112">
        <f>MIN(B112:B161)</f>
        <v>94.35</v>
      </c>
      <c r="F112">
        <f>MAX(B112:B161)</f>
        <v>107.95</v>
      </c>
      <c r="I112" t="str">
        <f t="shared" si="3"/>
        <v>Negative slope</v>
      </c>
      <c r="J112" t="str">
        <f t="shared" si="4"/>
        <v>Negative slope</v>
      </c>
    </row>
    <row r="113" spans="1:10" x14ac:dyDescent="0.2">
      <c r="A113" s="20">
        <v>41802</v>
      </c>
      <c r="B113">
        <v>107.2</v>
      </c>
      <c r="C113">
        <f>AVERAGE(B113:B132)</f>
        <v>106.0575</v>
      </c>
      <c r="D113">
        <f>AVERAGE(C113:C212)</f>
        <v>93.113834999999924</v>
      </c>
      <c r="E113">
        <f>MIN(B113:B162)</f>
        <v>93.97</v>
      </c>
      <c r="F113">
        <f>MAX(B113:B162)</f>
        <v>107.95</v>
      </c>
      <c r="I113" t="str">
        <f t="shared" si="3"/>
        <v>Negative slope</v>
      </c>
      <c r="J113" t="str">
        <f t="shared" si="4"/>
        <v>Negative slope</v>
      </c>
    </row>
    <row r="114" spans="1:10" x14ac:dyDescent="0.2">
      <c r="A114" s="20">
        <v>41803</v>
      </c>
      <c r="B114">
        <v>107.49</v>
      </c>
      <c r="C114">
        <f>AVERAGE(B114:B133)</f>
        <v>105.77149999999999</v>
      </c>
      <c r="D114">
        <f>AVERAGE(C114:C213)</f>
        <v>92.807749999999942</v>
      </c>
      <c r="E114">
        <f>MIN(B114:B163)</f>
        <v>93.61</v>
      </c>
      <c r="F114">
        <f>MAX(B114:B163)</f>
        <v>107.95</v>
      </c>
      <c r="I114" t="str">
        <f t="shared" si="3"/>
        <v>Negative slope</v>
      </c>
      <c r="J114" t="str">
        <f t="shared" si="4"/>
        <v>Negative slope</v>
      </c>
    </row>
    <row r="115" spans="1:10" x14ac:dyDescent="0.2">
      <c r="A115" s="20">
        <v>41806</v>
      </c>
      <c r="B115">
        <v>107.52</v>
      </c>
      <c r="C115">
        <f>AVERAGE(B115:B134)</f>
        <v>105.48349999999998</v>
      </c>
      <c r="D115">
        <f>AVERAGE(C115:C214)</f>
        <v>92.498634999999936</v>
      </c>
      <c r="E115">
        <f>MIN(B115:B164)</f>
        <v>93.61</v>
      </c>
      <c r="F115">
        <f>MAX(B115:B164)</f>
        <v>107.95</v>
      </c>
      <c r="I115" t="str">
        <f t="shared" si="3"/>
        <v>Negative slope</v>
      </c>
      <c r="J115" t="str">
        <f t="shared" si="4"/>
        <v>Negative slope</v>
      </c>
    </row>
    <row r="116" spans="1:10" x14ac:dyDescent="0.2">
      <c r="A116" s="20">
        <v>41807</v>
      </c>
      <c r="B116">
        <v>106.95</v>
      </c>
      <c r="C116">
        <f>AVERAGE(B116:B135)</f>
        <v>105.13550000000001</v>
      </c>
      <c r="D116">
        <f>AVERAGE(C116:C215)</f>
        <v>92.187474999999964</v>
      </c>
      <c r="E116">
        <f>MIN(B116:B165)</f>
        <v>93.61</v>
      </c>
      <c r="F116">
        <f>MAX(B116:B165)</f>
        <v>107.95</v>
      </c>
      <c r="I116" t="str">
        <f t="shared" si="3"/>
        <v>Negative slope</v>
      </c>
      <c r="J116" t="str">
        <f t="shared" si="4"/>
        <v>Negative slope</v>
      </c>
    </row>
    <row r="117" spans="1:10" x14ac:dyDescent="0.2">
      <c r="A117" s="20">
        <v>41808</v>
      </c>
      <c r="B117">
        <v>106.64</v>
      </c>
      <c r="C117">
        <f>AVERAGE(B117:B136)</f>
        <v>104.88199999999999</v>
      </c>
      <c r="D117">
        <f>AVERAGE(C117:C216)</f>
        <v>91.873804999999933</v>
      </c>
      <c r="E117">
        <f>MIN(B117:B166)</f>
        <v>93.61</v>
      </c>
      <c r="F117">
        <f>MAX(B117:B166)</f>
        <v>107.95</v>
      </c>
      <c r="I117" t="str">
        <f t="shared" si="3"/>
        <v>Negative slope</v>
      </c>
      <c r="J117" t="str">
        <f t="shared" si="4"/>
        <v>Negative slope</v>
      </c>
    </row>
    <row r="118" spans="1:10" x14ac:dyDescent="0.2">
      <c r="A118" s="20">
        <v>41809</v>
      </c>
      <c r="B118">
        <v>107.08</v>
      </c>
      <c r="C118">
        <f>AVERAGE(B118:B137)</f>
        <v>104.742</v>
      </c>
      <c r="D118">
        <f>AVERAGE(C118:C217)</f>
        <v>91.556679999999943</v>
      </c>
      <c r="E118">
        <f>MIN(B118:B167)</f>
        <v>93.61</v>
      </c>
      <c r="F118">
        <f>MAX(B118:B167)</f>
        <v>107.95</v>
      </c>
      <c r="I118" t="str">
        <f t="shared" si="3"/>
        <v>Negative slope</v>
      </c>
      <c r="J118" t="str">
        <f t="shared" si="4"/>
        <v>Negative slope</v>
      </c>
    </row>
    <row r="119" spans="1:10" x14ac:dyDescent="0.2">
      <c r="A119" s="20">
        <v>41810</v>
      </c>
      <c r="B119">
        <v>107.95</v>
      </c>
      <c r="C119">
        <f>AVERAGE(B119:B138)</f>
        <v>104.57950000000001</v>
      </c>
      <c r="D119">
        <f>AVERAGE(C119:C218)</f>
        <v>91.233164999999929</v>
      </c>
      <c r="E119">
        <f>MIN(B119:B168)</f>
        <v>93.61</v>
      </c>
      <c r="F119">
        <f>MAX(B119:B168)</f>
        <v>107.95</v>
      </c>
      <c r="I119" t="str">
        <f t="shared" si="3"/>
        <v>Negative slope</v>
      </c>
      <c r="J119" t="str">
        <f t="shared" si="4"/>
        <v>Negative slope</v>
      </c>
    </row>
    <row r="120" spans="1:10" x14ac:dyDescent="0.2">
      <c r="A120" s="20">
        <v>41813</v>
      </c>
      <c r="B120">
        <v>106.83</v>
      </c>
      <c r="C120">
        <f>AVERAGE(B120:B139)</f>
        <v>104.44899999999998</v>
      </c>
      <c r="D120">
        <f>AVERAGE(C120:C219)</f>
        <v>90.904429999999934</v>
      </c>
      <c r="E120">
        <f>MIN(B120:B169)</f>
        <v>92.92</v>
      </c>
      <c r="F120">
        <f>MAX(B120:B169)</f>
        <v>107.04</v>
      </c>
      <c r="I120" t="str">
        <f t="shared" si="3"/>
        <v>Negative slope</v>
      </c>
      <c r="J120" t="str">
        <f t="shared" si="4"/>
        <v>Negative slope</v>
      </c>
    </row>
    <row r="121" spans="1:10" x14ac:dyDescent="0.2">
      <c r="A121" s="20">
        <v>41814</v>
      </c>
      <c r="B121">
        <v>106.64</v>
      </c>
      <c r="C121">
        <f>AVERAGE(B121:B140)</f>
        <v>104.33699999999999</v>
      </c>
      <c r="D121">
        <f>AVERAGE(C121:C220)</f>
        <v>90.568569999999923</v>
      </c>
      <c r="E121">
        <f>MIN(B121:B170)</f>
        <v>92.92</v>
      </c>
      <c r="F121">
        <f>MAX(B121:B170)</f>
        <v>107.04</v>
      </c>
      <c r="I121" t="str">
        <f t="shared" si="3"/>
        <v>Negative slope</v>
      </c>
      <c r="J121" t="str">
        <f t="shared" si="4"/>
        <v>Negative slope</v>
      </c>
    </row>
    <row r="122" spans="1:10" x14ac:dyDescent="0.2">
      <c r="A122" s="20">
        <v>41815</v>
      </c>
      <c r="B122">
        <v>107.04</v>
      </c>
      <c r="C122">
        <f>AVERAGE(B122:B141)</f>
        <v>104.1955</v>
      </c>
      <c r="D122">
        <f>AVERAGE(C122:C221)</f>
        <v>90.225254999999947</v>
      </c>
      <c r="E122">
        <f>MIN(B122:B171)</f>
        <v>92.92</v>
      </c>
      <c r="F122">
        <f>MAX(B122:B171)</f>
        <v>107.04</v>
      </c>
      <c r="I122" t="str">
        <f t="shared" si="3"/>
        <v>Negative slope</v>
      </c>
      <c r="J122" t="str">
        <f t="shared" si="4"/>
        <v>Negative slope</v>
      </c>
    </row>
    <row r="123" spans="1:10" x14ac:dyDescent="0.2">
      <c r="A123" s="20">
        <v>41816</v>
      </c>
      <c r="B123">
        <v>106.49</v>
      </c>
      <c r="C123">
        <f>AVERAGE(B123:B142)</f>
        <v>103.98149999999998</v>
      </c>
      <c r="D123">
        <f>AVERAGE(C123:C222)</f>
        <v>89.875194999999962</v>
      </c>
      <c r="E123">
        <f>MIN(B123:B172)</f>
        <v>92.92</v>
      </c>
      <c r="F123">
        <f>MAX(B123:B172)</f>
        <v>106.49</v>
      </c>
      <c r="I123" t="str">
        <f t="shared" si="3"/>
        <v>Negative slope</v>
      </c>
      <c r="J123" t="str">
        <f t="shared" si="4"/>
        <v>Negative slope</v>
      </c>
    </row>
    <row r="124" spans="1:10" x14ac:dyDescent="0.2">
      <c r="A124" s="20">
        <v>41817</v>
      </c>
      <c r="B124">
        <v>106.46</v>
      </c>
      <c r="C124">
        <f>AVERAGE(B124:B143)</f>
        <v>103.91849999999997</v>
      </c>
      <c r="D124">
        <f>AVERAGE(C124:C223)</f>
        <v>89.517299999999935</v>
      </c>
      <c r="E124">
        <f>MIN(B124:B173)</f>
        <v>92.64</v>
      </c>
      <c r="F124">
        <f>MAX(B124:B173)</f>
        <v>106.46</v>
      </c>
      <c r="I124" t="str">
        <f t="shared" si="3"/>
        <v>Negative slope</v>
      </c>
      <c r="J124" t="str">
        <f t="shared" si="4"/>
        <v>Negative slope</v>
      </c>
    </row>
    <row r="125" spans="1:10" x14ac:dyDescent="0.2">
      <c r="A125" s="20">
        <v>41820</v>
      </c>
      <c r="B125">
        <v>106.07</v>
      </c>
      <c r="C125">
        <f>AVERAGE(B125:B144)</f>
        <v>103.87949999999996</v>
      </c>
      <c r="D125">
        <f>AVERAGE(C125:C224)</f>
        <v>89.150199999999955</v>
      </c>
      <c r="E125">
        <f>MIN(B125:B174)</f>
        <v>92.64</v>
      </c>
      <c r="F125">
        <f>MAX(B125:B174)</f>
        <v>106.07</v>
      </c>
      <c r="I125" t="str">
        <f t="shared" si="3"/>
        <v>Negative slope</v>
      </c>
      <c r="J125" t="str">
        <f t="shared" si="4"/>
        <v>Negative slope</v>
      </c>
    </row>
    <row r="126" spans="1:10" x14ac:dyDescent="0.2">
      <c r="A126" s="20">
        <v>41821</v>
      </c>
      <c r="B126">
        <v>106.06</v>
      </c>
      <c r="C126">
        <f>AVERAGE(B126:B145)</f>
        <v>103.82149999999999</v>
      </c>
      <c r="D126">
        <f>AVERAGE(C126:C225)</f>
        <v>88.774429999999938</v>
      </c>
      <c r="E126">
        <f>MIN(B126:B175)</f>
        <v>91.71</v>
      </c>
      <c r="F126">
        <f>MAX(B126:B175)</f>
        <v>106.06</v>
      </c>
      <c r="I126" t="str">
        <f t="shared" si="3"/>
        <v>Negative slope</v>
      </c>
      <c r="J126" t="str">
        <f t="shared" si="4"/>
        <v>Negative slope</v>
      </c>
    </row>
    <row r="127" spans="1:10" x14ac:dyDescent="0.2">
      <c r="A127" s="20">
        <v>41822</v>
      </c>
      <c r="B127">
        <v>105.18</v>
      </c>
      <c r="C127">
        <f>AVERAGE(B127:B146)</f>
        <v>103.73299999999999</v>
      </c>
      <c r="D127">
        <f>AVERAGE(C127:C226)</f>
        <v>88.389054999999956</v>
      </c>
      <c r="E127">
        <f>MIN(B127:B176)</f>
        <v>91.71</v>
      </c>
      <c r="F127">
        <f>MAX(B127:B176)</f>
        <v>105.68</v>
      </c>
      <c r="I127" t="str">
        <f t="shared" si="3"/>
        <v>Negative slope</v>
      </c>
      <c r="J127" t="str">
        <f t="shared" si="4"/>
        <v>Negative slope</v>
      </c>
    </row>
    <row r="128" spans="1:10" x14ac:dyDescent="0.2">
      <c r="A128" s="20">
        <v>41823</v>
      </c>
      <c r="B128">
        <v>104.76</v>
      </c>
      <c r="C128">
        <f>AVERAGE(B128:B147)</f>
        <v>103.38549999999998</v>
      </c>
      <c r="D128">
        <f>AVERAGE(C128:C227)</f>
        <v>87.995204999999956</v>
      </c>
      <c r="E128">
        <f>MIN(B128:B177)</f>
        <v>91.71</v>
      </c>
      <c r="F128">
        <f>MAX(B128:B177)</f>
        <v>105.68</v>
      </c>
      <c r="I128" t="str">
        <f t="shared" si="3"/>
        <v>Negative slope</v>
      </c>
      <c r="J128" t="str">
        <f t="shared" si="4"/>
        <v>Negative slope</v>
      </c>
    </row>
    <row r="129" spans="1:10" x14ac:dyDescent="0.2">
      <c r="A129" s="20">
        <v>41827</v>
      </c>
      <c r="B129">
        <v>104.19</v>
      </c>
      <c r="C129">
        <f>AVERAGE(B129:B148)</f>
        <v>103.04049999999999</v>
      </c>
      <c r="D129">
        <f>AVERAGE(C129:C228)</f>
        <v>87.594194999999957</v>
      </c>
      <c r="E129">
        <f>MIN(B129:B178)</f>
        <v>91.71</v>
      </c>
      <c r="F129">
        <f>MAX(B129:B178)</f>
        <v>105.68</v>
      </c>
      <c r="I129" t="str">
        <f t="shared" si="3"/>
        <v>Negative slope</v>
      </c>
      <c r="J129" t="str">
        <f t="shared" si="4"/>
        <v>Negative slope</v>
      </c>
    </row>
    <row r="130" spans="1:10" x14ac:dyDescent="0.2">
      <c r="A130" s="20">
        <v>41828</v>
      </c>
      <c r="B130">
        <v>104.06</v>
      </c>
      <c r="C130">
        <f>AVERAGE(B130:B149)</f>
        <v>102.744</v>
      </c>
      <c r="D130">
        <f>AVERAGE(C130:C229)</f>
        <v>87.187154999999962</v>
      </c>
      <c r="E130">
        <f>MIN(B130:B179)</f>
        <v>91.71</v>
      </c>
      <c r="F130">
        <f>MAX(B130:B179)</f>
        <v>105.68</v>
      </c>
      <c r="I130" t="str">
        <f t="shared" si="3"/>
        <v>Negative slope</v>
      </c>
      <c r="J130" t="str">
        <f t="shared" si="4"/>
        <v>Negative slope</v>
      </c>
    </row>
    <row r="131" spans="1:10" x14ac:dyDescent="0.2">
      <c r="A131" s="20">
        <v>41829</v>
      </c>
      <c r="B131">
        <v>102.93</v>
      </c>
      <c r="C131">
        <f>AVERAGE(B131:B150)</f>
        <v>102.40800000000002</v>
      </c>
      <c r="D131">
        <f>AVERAGE(C131:C230)</f>
        <v>86.773909999999958</v>
      </c>
      <c r="E131">
        <f>MIN(B131:B180)</f>
        <v>91.71</v>
      </c>
      <c r="F131">
        <f>MAX(B131:B180)</f>
        <v>105.68</v>
      </c>
      <c r="I131" t="str">
        <f t="shared" ref="I131:I194" si="5">IF((C132-C131)&gt;0, "Positive slope", "Negative slope")</f>
        <v>Negative slope</v>
      </c>
      <c r="J131" t="str">
        <f t="shared" ref="J131:J194" si="6">IF((D132-D131)&gt;0, "Positive slope", "Negative slope")</f>
        <v>Negative slope</v>
      </c>
    </row>
    <row r="132" spans="1:10" x14ac:dyDescent="0.2">
      <c r="A132" s="20">
        <v>41830</v>
      </c>
      <c r="B132">
        <v>103.61</v>
      </c>
      <c r="C132">
        <f>AVERAGE(B132:B151)</f>
        <v>102.108</v>
      </c>
      <c r="D132">
        <f>AVERAGE(C132:C231)</f>
        <v>86.354469999999964</v>
      </c>
      <c r="E132">
        <f>MIN(B132:B181)</f>
        <v>91.71</v>
      </c>
      <c r="F132">
        <f>MAX(B132:B181)</f>
        <v>105.68</v>
      </c>
      <c r="I132" t="str">
        <f t="shared" si="5"/>
        <v>Negative slope</v>
      </c>
      <c r="J132" t="str">
        <f t="shared" si="6"/>
        <v>Negative slope</v>
      </c>
    </row>
    <row r="133" spans="1:10" x14ac:dyDescent="0.2">
      <c r="A133" s="20">
        <v>41831</v>
      </c>
      <c r="B133">
        <v>101.48</v>
      </c>
      <c r="C133">
        <f>AVERAGE(B133:B152)</f>
        <v>101.7945</v>
      </c>
      <c r="D133">
        <f>AVERAGE(C133:C232)</f>
        <v>85.931789999999964</v>
      </c>
      <c r="E133">
        <f>MIN(B133:B182)</f>
        <v>91.71</v>
      </c>
      <c r="F133">
        <f>MAX(B133:B182)</f>
        <v>105.68</v>
      </c>
      <c r="I133" t="str">
        <f t="shared" si="5"/>
        <v>Negative slope</v>
      </c>
      <c r="J133" t="str">
        <f t="shared" si="6"/>
        <v>Negative slope</v>
      </c>
    </row>
    <row r="134" spans="1:10" x14ac:dyDescent="0.2">
      <c r="A134" s="20">
        <v>41834</v>
      </c>
      <c r="B134">
        <v>101.73</v>
      </c>
      <c r="C134">
        <f>AVERAGE(B134:B153)</f>
        <v>101.60099999999998</v>
      </c>
      <c r="D134">
        <f>AVERAGE(C134:C233)</f>
        <v>85.504824999999968</v>
      </c>
      <c r="E134">
        <f>MIN(B134:B183)</f>
        <v>91.46</v>
      </c>
      <c r="F134">
        <f>MAX(B134:B183)</f>
        <v>105.68</v>
      </c>
      <c r="I134" t="str">
        <f t="shared" si="5"/>
        <v>Negative slope</v>
      </c>
      <c r="J134" t="str">
        <f t="shared" si="6"/>
        <v>Negative slope</v>
      </c>
    </row>
    <row r="135" spans="1:10" x14ac:dyDescent="0.2">
      <c r="A135" s="20">
        <v>41835</v>
      </c>
      <c r="B135">
        <v>100.56</v>
      </c>
      <c r="C135">
        <f>AVERAGE(B135:B154)</f>
        <v>101.41899999999998</v>
      </c>
      <c r="D135">
        <f>AVERAGE(C135:C234)</f>
        <v>85.073024999999959</v>
      </c>
      <c r="E135">
        <f>MIN(B135:B184)</f>
        <v>91.46</v>
      </c>
      <c r="F135">
        <f>MAX(B135:B184)</f>
        <v>105.68</v>
      </c>
      <c r="I135" t="str">
        <f t="shared" si="5"/>
        <v>Negative slope</v>
      </c>
      <c r="J135" t="str">
        <f t="shared" si="6"/>
        <v>Negative slope</v>
      </c>
    </row>
    <row r="136" spans="1:10" x14ac:dyDescent="0.2">
      <c r="A136" s="20">
        <v>41836</v>
      </c>
      <c r="B136">
        <v>101.88</v>
      </c>
      <c r="C136">
        <f>AVERAGE(B136:B155)</f>
        <v>101.25899999999999</v>
      </c>
      <c r="D136">
        <f>AVERAGE(C136:C235)</f>
        <v>84.635754999999989</v>
      </c>
      <c r="E136">
        <f>MIN(B136:B185)</f>
        <v>91.46</v>
      </c>
      <c r="F136">
        <f>MAX(B136:B185)</f>
        <v>105.68</v>
      </c>
      <c r="I136" t="str">
        <f t="shared" si="5"/>
        <v>Negative slope</v>
      </c>
      <c r="J136" t="str">
        <f t="shared" si="6"/>
        <v>Negative slope</v>
      </c>
    </row>
    <row r="137" spans="1:10" x14ac:dyDescent="0.2">
      <c r="A137" s="20">
        <v>41837</v>
      </c>
      <c r="B137">
        <v>103.84</v>
      </c>
      <c r="C137">
        <f>AVERAGE(B137:B156)</f>
        <v>101.04349999999998</v>
      </c>
      <c r="D137">
        <f>AVERAGE(C137:C236)</f>
        <v>84.191745000000012</v>
      </c>
      <c r="E137">
        <f>MIN(B137:B186)</f>
        <v>91.46</v>
      </c>
      <c r="F137">
        <f>MAX(B137:B186)</f>
        <v>105.68</v>
      </c>
      <c r="I137" t="str">
        <f t="shared" si="5"/>
        <v>Negative slope</v>
      </c>
      <c r="J137" t="str">
        <f t="shared" si="6"/>
        <v>Negative slope</v>
      </c>
    </row>
    <row r="138" spans="1:10" x14ac:dyDescent="0.2">
      <c r="A138" s="20">
        <v>41838</v>
      </c>
      <c r="B138">
        <v>103.83</v>
      </c>
      <c r="C138">
        <f>AVERAGE(B138:B157)</f>
        <v>100.62849999999996</v>
      </c>
      <c r="D138">
        <f>AVERAGE(C138:C237)</f>
        <v>83.740934999999979</v>
      </c>
      <c r="E138">
        <f>MIN(B138:B187)</f>
        <v>91.46</v>
      </c>
      <c r="F138">
        <f>MAX(B138:B187)</f>
        <v>105.68</v>
      </c>
      <c r="I138" t="str">
        <f t="shared" si="5"/>
        <v>Negative slope</v>
      </c>
      <c r="J138" t="str">
        <f t="shared" si="6"/>
        <v>Negative slope</v>
      </c>
    </row>
    <row r="139" spans="1:10" x14ac:dyDescent="0.2">
      <c r="A139" s="20">
        <v>41841</v>
      </c>
      <c r="B139">
        <v>105.34</v>
      </c>
      <c r="C139">
        <f>AVERAGE(B139:B158)</f>
        <v>100.30199999999998</v>
      </c>
      <c r="D139">
        <f>AVERAGE(C139:C238)</f>
        <v>83.287054999999981</v>
      </c>
      <c r="E139">
        <f>MIN(B139:B188)</f>
        <v>91.46</v>
      </c>
      <c r="F139">
        <f>MAX(B139:B188)</f>
        <v>105.68</v>
      </c>
      <c r="I139" t="str">
        <f t="shared" si="5"/>
        <v>Negative slope</v>
      </c>
      <c r="J139" t="str">
        <f t="shared" si="6"/>
        <v>Negative slope</v>
      </c>
    </row>
    <row r="140" spans="1:10" x14ac:dyDescent="0.2">
      <c r="A140" s="20">
        <v>41842</v>
      </c>
      <c r="B140">
        <v>104.59</v>
      </c>
      <c r="C140">
        <f>AVERAGE(B140:B159)</f>
        <v>99.856999999999985</v>
      </c>
      <c r="D140">
        <f>AVERAGE(C140:C239)</f>
        <v>82.828969999999984</v>
      </c>
      <c r="E140">
        <f>MIN(B140:B189)</f>
        <v>91.17</v>
      </c>
      <c r="F140">
        <f>MAX(B140:B189)</f>
        <v>105.68</v>
      </c>
      <c r="I140" t="str">
        <f t="shared" si="5"/>
        <v>Negative slope</v>
      </c>
      <c r="J140" t="str">
        <f t="shared" si="6"/>
        <v>Negative slope</v>
      </c>
    </row>
    <row r="141" spans="1:10" x14ac:dyDescent="0.2">
      <c r="A141" s="20">
        <v>41843</v>
      </c>
      <c r="B141">
        <v>103.81</v>
      </c>
      <c r="C141">
        <f>AVERAGE(B141:B160)</f>
        <v>99.34499999999997</v>
      </c>
      <c r="D141">
        <f>AVERAGE(C141:C240)</f>
        <v>82.369014999999976</v>
      </c>
      <c r="E141">
        <f>MIN(B141:B190)</f>
        <v>90.74</v>
      </c>
      <c r="F141">
        <f>MAX(B141:B190)</f>
        <v>105.68</v>
      </c>
      <c r="I141" t="str">
        <f t="shared" si="5"/>
        <v>Negative slope</v>
      </c>
      <c r="J141" t="str">
        <f t="shared" si="6"/>
        <v>Negative slope</v>
      </c>
    </row>
    <row r="142" spans="1:10" x14ac:dyDescent="0.2">
      <c r="A142" s="20">
        <v>41844</v>
      </c>
      <c r="B142">
        <v>102.76</v>
      </c>
      <c r="C142">
        <f>AVERAGE(B142:B161)</f>
        <v>98.974499999999978</v>
      </c>
      <c r="D142">
        <f>AVERAGE(C142:C241)</f>
        <v>81.90720499999999</v>
      </c>
      <c r="E142">
        <f>MIN(B142:B191)</f>
        <v>90.74</v>
      </c>
      <c r="F142">
        <f>MAX(B142:B191)</f>
        <v>105.68</v>
      </c>
      <c r="I142" t="str">
        <f t="shared" si="5"/>
        <v>Negative slope</v>
      </c>
      <c r="J142" t="str">
        <f t="shared" si="6"/>
        <v>Negative slope</v>
      </c>
    </row>
    <row r="143" spans="1:10" x14ac:dyDescent="0.2">
      <c r="A143" s="20">
        <v>41845</v>
      </c>
      <c r="B143">
        <v>105.23</v>
      </c>
      <c r="C143">
        <f>AVERAGE(B143:B162)</f>
        <v>98.534999999999997</v>
      </c>
      <c r="D143">
        <f>AVERAGE(C143:C242)</f>
        <v>81.443154999999976</v>
      </c>
      <c r="E143">
        <f>MIN(B143:B192)</f>
        <v>89.76</v>
      </c>
      <c r="F143">
        <f>MAX(B143:B192)</f>
        <v>105.68</v>
      </c>
      <c r="I143" t="str">
        <f t="shared" si="5"/>
        <v>Negative slope</v>
      </c>
      <c r="J143" t="str">
        <f t="shared" si="6"/>
        <v>Negative slope</v>
      </c>
    </row>
    <row r="144" spans="1:10" x14ac:dyDescent="0.2">
      <c r="A144" s="20">
        <v>41848</v>
      </c>
      <c r="B144">
        <v>105.68</v>
      </c>
      <c r="C144">
        <f>AVERAGE(B144:B163)</f>
        <v>97.953999999999979</v>
      </c>
      <c r="D144">
        <f>AVERAGE(C144:C243)</f>
        <v>80.979764999999986</v>
      </c>
      <c r="E144">
        <f>MIN(B144:B193)</f>
        <v>89.76</v>
      </c>
      <c r="F144">
        <f>MAX(B144:B193)</f>
        <v>105.68</v>
      </c>
      <c r="I144" t="str">
        <f t="shared" si="5"/>
        <v>Negative slope</v>
      </c>
      <c r="J144" t="str">
        <f t="shared" si="6"/>
        <v>Negative slope</v>
      </c>
    </row>
    <row r="145" spans="1:10" x14ac:dyDescent="0.2">
      <c r="A145" s="20">
        <v>41849</v>
      </c>
      <c r="B145">
        <v>104.91</v>
      </c>
      <c r="C145">
        <f>AVERAGE(B145:B164)</f>
        <v>97.439499999999995</v>
      </c>
      <c r="D145">
        <f>AVERAGE(C145:C244)</f>
        <v>80.51738499999999</v>
      </c>
      <c r="E145">
        <f>MIN(B145:B194)</f>
        <v>88.89</v>
      </c>
      <c r="F145">
        <f>MAX(B145:B194)</f>
        <v>104.91</v>
      </c>
      <c r="I145" t="str">
        <f t="shared" si="5"/>
        <v>Negative slope</v>
      </c>
      <c r="J145" t="str">
        <f t="shared" si="6"/>
        <v>Negative slope</v>
      </c>
    </row>
    <row r="146" spans="1:10" x14ac:dyDescent="0.2">
      <c r="A146" s="20">
        <v>41850</v>
      </c>
      <c r="B146">
        <v>104.29</v>
      </c>
      <c r="C146">
        <f>AVERAGE(B146:B165)</f>
        <v>96.983000000000004</v>
      </c>
      <c r="D146">
        <f>AVERAGE(C146:C245)</f>
        <v>80.056179999999983</v>
      </c>
      <c r="E146">
        <f>MIN(B146:B195)</f>
        <v>87.29</v>
      </c>
      <c r="F146">
        <f>MAX(B146:B195)</f>
        <v>104.29</v>
      </c>
      <c r="I146" t="str">
        <f t="shared" si="5"/>
        <v>Negative slope</v>
      </c>
      <c r="J146" t="str">
        <f t="shared" si="6"/>
        <v>Negative slope</v>
      </c>
    </row>
    <row r="147" spans="1:10" x14ac:dyDescent="0.2">
      <c r="A147" s="20">
        <v>41851</v>
      </c>
      <c r="B147">
        <v>98.23</v>
      </c>
      <c r="C147">
        <f>AVERAGE(B147:B166)</f>
        <v>96.5595</v>
      </c>
      <c r="D147">
        <f>AVERAGE(C147:C246)</f>
        <v>79.595844999999997</v>
      </c>
      <c r="E147">
        <f>MIN(B147:B196)</f>
        <v>85.76</v>
      </c>
      <c r="F147">
        <f>MAX(B147:B196)</f>
        <v>98.26</v>
      </c>
      <c r="I147" t="str">
        <f t="shared" si="5"/>
        <v>Negative slope</v>
      </c>
      <c r="J147" t="str">
        <f t="shared" si="6"/>
        <v>Negative slope</v>
      </c>
    </row>
    <row r="148" spans="1:10" x14ac:dyDescent="0.2">
      <c r="A148" s="20">
        <v>41852</v>
      </c>
      <c r="B148">
        <v>97.86</v>
      </c>
      <c r="C148">
        <f>AVERAGE(B148:B167)</f>
        <v>96.47</v>
      </c>
      <c r="D148">
        <f>AVERAGE(C148:C247)</f>
        <v>79.135214999999988</v>
      </c>
      <c r="E148">
        <f>MIN(B148:B197)</f>
        <v>85.76</v>
      </c>
      <c r="F148">
        <f>MAX(B148:B197)</f>
        <v>98.26</v>
      </c>
      <c r="I148" t="str">
        <f t="shared" si="5"/>
        <v>Negative slope</v>
      </c>
      <c r="J148" t="str">
        <f t="shared" si="6"/>
        <v>Negative slope</v>
      </c>
    </row>
    <row r="149" spans="1:10" x14ac:dyDescent="0.2">
      <c r="A149" s="20">
        <v>41855</v>
      </c>
      <c r="B149">
        <v>98.26</v>
      </c>
      <c r="C149">
        <f>AVERAGE(B149:B168)</f>
        <v>96.47</v>
      </c>
      <c r="D149">
        <f>AVERAGE(C149:C248)</f>
        <v>78.670819999999992</v>
      </c>
      <c r="E149">
        <f>MIN(B149:B198)</f>
        <v>85.73</v>
      </c>
      <c r="F149">
        <f>MAX(B149:B198)</f>
        <v>98.26</v>
      </c>
      <c r="I149" t="str">
        <f t="shared" si="5"/>
        <v>Negative slope</v>
      </c>
      <c r="J149" t="str">
        <f t="shared" si="6"/>
        <v>Negative slope</v>
      </c>
    </row>
    <row r="150" spans="1:10" x14ac:dyDescent="0.2">
      <c r="A150" s="20">
        <v>41856</v>
      </c>
      <c r="B150">
        <v>97.34</v>
      </c>
      <c r="C150">
        <f>AVERAGE(B150:B169)</f>
        <v>96.203000000000003</v>
      </c>
      <c r="D150">
        <f>AVERAGE(C150:C249)</f>
        <v>78.200665000000001</v>
      </c>
      <c r="E150">
        <f>MIN(B150:B199)</f>
        <v>81.72</v>
      </c>
      <c r="F150">
        <f>MAX(B150:B199)</f>
        <v>98.09</v>
      </c>
      <c r="I150" t="str">
        <f t="shared" si="5"/>
        <v>Negative slope</v>
      </c>
      <c r="J150" t="str">
        <f t="shared" si="6"/>
        <v>Negative slope</v>
      </c>
    </row>
    <row r="151" spans="1:10" x14ac:dyDescent="0.2">
      <c r="A151" s="20">
        <v>41857</v>
      </c>
      <c r="B151">
        <v>96.93</v>
      </c>
      <c r="C151">
        <f>AVERAGE(B151:B170)</f>
        <v>96.111000000000004</v>
      </c>
      <c r="D151">
        <f>AVERAGE(C151:C250)</f>
        <v>77.727730000000008</v>
      </c>
      <c r="E151">
        <f>MIN(B151:B200)</f>
        <v>81.72</v>
      </c>
      <c r="F151">
        <f>MAX(B151:B200)</f>
        <v>98.09</v>
      </c>
      <c r="I151" t="str">
        <f t="shared" si="5"/>
        <v>Negative slope</v>
      </c>
      <c r="J151" t="str">
        <f t="shared" si="6"/>
        <v>Negative slope</v>
      </c>
    </row>
    <row r="152" spans="1:10" x14ac:dyDescent="0.2">
      <c r="A152" s="20">
        <v>41858</v>
      </c>
      <c r="B152">
        <v>97.34</v>
      </c>
      <c r="C152">
        <f>AVERAGE(B152:B171)</f>
        <v>95.99</v>
      </c>
      <c r="D152">
        <f>AVERAGE(C152:C251)</f>
        <v>77.251340000000013</v>
      </c>
      <c r="E152">
        <f>MIN(B152:B201)</f>
        <v>81.72</v>
      </c>
      <c r="F152">
        <f>MAX(B152:B201)</f>
        <v>98.09</v>
      </c>
      <c r="I152" t="str">
        <f t="shared" si="5"/>
        <v>Negative slope</v>
      </c>
      <c r="J152" t="str">
        <f t="shared" si="6"/>
        <v>Negative slope</v>
      </c>
    </row>
    <row r="153" spans="1:10" x14ac:dyDescent="0.2">
      <c r="A153" s="20">
        <v>41859</v>
      </c>
      <c r="B153">
        <v>97.61</v>
      </c>
      <c r="C153">
        <f>AVERAGE(B153:B172)</f>
        <v>95.789000000000001</v>
      </c>
      <c r="D153">
        <f>AVERAGE(C153:C252)</f>
        <v>76.771469999999994</v>
      </c>
      <c r="E153">
        <f>MIN(B153:B202)</f>
        <v>81.72</v>
      </c>
      <c r="F153">
        <f>MAX(B153:B202)</f>
        <v>98.09</v>
      </c>
      <c r="I153" t="str">
        <f t="shared" si="5"/>
        <v>Negative slope</v>
      </c>
      <c r="J153" t="str">
        <f t="shared" si="6"/>
        <v>Negative slope</v>
      </c>
    </row>
    <row r="154" spans="1:10" x14ac:dyDescent="0.2">
      <c r="A154" s="20">
        <v>41862</v>
      </c>
      <c r="B154">
        <v>98.09</v>
      </c>
      <c r="C154">
        <f>AVERAGE(B154:B173)</f>
        <v>95.540499999999994</v>
      </c>
      <c r="D154">
        <f>AVERAGE(C154:C253)</f>
        <v>76.288600000000002</v>
      </c>
      <c r="E154">
        <f>MIN(B154:B203)</f>
        <v>81.72</v>
      </c>
      <c r="F154">
        <f>MAX(B154:B203)</f>
        <v>98.09</v>
      </c>
      <c r="I154" t="str">
        <f t="shared" si="5"/>
        <v>Negative slope</v>
      </c>
      <c r="J154" t="str">
        <f t="shared" si="6"/>
        <v>Negative slope</v>
      </c>
    </row>
    <row r="155" spans="1:10" x14ac:dyDescent="0.2">
      <c r="A155" s="20">
        <v>41863</v>
      </c>
      <c r="B155">
        <v>97.36</v>
      </c>
      <c r="C155">
        <f>AVERAGE(B155:B174)</f>
        <v>95.272500000000008</v>
      </c>
      <c r="D155">
        <f>AVERAGE(C155:C254)</f>
        <v>75.805385000000001</v>
      </c>
      <c r="E155">
        <f>MIN(B155:B204)</f>
        <v>81.72</v>
      </c>
      <c r="F155">
        <f>MAX(B155:B204)</f>
        <v>97.86</v>
      </c>
      <c r="I155" t="str">
        <f t="shared" si="5"/>
        <v>Negative slope</v>
      </c>
      <c r="J155" t="str">
        <f t="shared" si="6"/>
        <v>Negative slope</v>
      </c>
    </row>
    <row r="156" spans="1:10" x14ac:dyDescent="0.2">
      <c r="A156" s="20">
        <v>41864</v>
      </c>
      <c r="B156">
        <v>97.57</v>
      </c>
      <c r="C156">
        <f>AVERAGE(B156:B175)</f>
        <v>94.990000000000009</v>
      </c>
      <c r="D156">
        <f>AVERAGE(C156:C255)</f>
        <v>75.323115000000001</v>
      </c>
      <c r="E156">
        <f>MIN(B156:B205)</f>
        <v>80.52</v>
      </c>
      <c r="F156">
        <f>MAX(B156:B205)</f>
        <v>97.86</v>
      </c>
      <c r="I156" t="str">
        <f t="shared" si="5"/>
        <v>Negative slope</v>
      </c>
      <c r="J156" t="str">
        <f t="shared" si="6"/>
        <v>Negative slope</v>
      </c>
    </row>
    <row r="157" spans="1:10" x14ac:dyDescent="0.2">
      <c r="A157" s="20">
        <v>41865</v>
      </c>
      <c r="B157">
        <v>95.54</v>
      </c>
      <c r="C157">
        <f>AVERAGE(B157:B176)</f>
        <v>94.756</v>
      </c>
      <c r="D157">
        <f>AVERAGE(C157:C256)</f>
        <v>74.845165000000009</v>
      </c>
      <c r="E157">
        <f>MIN(B157:B206)</f>
        <v>80.52</v>
      </c>
      <c r="F157">
        <f>MAX(B157:B206)</f>
        <v>97.86</v>
      </c>
      <c r="I157" t="str">
        <f t="shared" si="5"/>
        <v>Negative slope</v>
      </c>
      <c r="J157" t="str">
        <f t="shared" si="6"/>
        <v>Negative slope</v>
      </c>
    </row>
    <row r="158" spans="1:10" x14ac:dyDescent="0.2">
      <c r="A158" s="20">
        <v>41866</v>
      </c>
      <c r="B158">
        <v>97.3</v>
      </c>
      <c r="C158">
        <f>AVERAGE(B158:B177)</f>
        <v>94.588000000000008</v>
      </c>
      <c r="D158">
        <f>AVERAGE(C158:C257)</f>
        <v>74.369790000000009</v>
      </c>
      <c r="E158">
        <f>MIN(B158:B207)</f>
        <v>80.52</v>
      </c>
      <c r="F158">
        <f>MAX(B158:B207)</f>
        <v>97.86</v>
      </c>
      <c r="I158" t="str">
        <f t="shared" si="5"/>
        <v>Negative slope</v>
      </c>
      <c r="J158" t="str">
        <f t="shared" si="6"/>
        <v>Negative slope</v>
      </c>
    </row>
    <row r="159" spans="1:10" x14ac:dyDescent="0.2">
      <c r="A159" s="20">
        <v>41869</v>
      </c>
      <c r="B159">
        <v>96.44</v>
      </c>
      <c r="C159">
        <f>AVERAGE(B159:B178)</f>
        <v>94.366000000000014</v>
      </c>
      <c r="D159">
        <f>AVERAGE(C159:C258)</f>
        <v>73.896990000000017</v>
      </c>
      <c r="E159">
        <f>MIN(B159:B208)</f>
        <v>80.52</v>
      </c>
      <c r="F159">
        <f>MAX(B159:B208)</f>
        <v>97.86</v>
      </c>
      <c r="I159" t="str">
        <f t="shared" si="5"/>
        <v>Negative slope</v>
      </c>
      <c r="J159" t="str">
        <f t="shared" si="6"/>
        <v>Negative slope</v>
      </c>
    </row>
    <row r="160" spans="1:10" x14ac:dyDescent="0.2">
      <c r="A160" s="20">
        <v>41870</v>
      </c>
      <c r="B160">
        <v>94.35</v>
      </c>
      <c r="C160">
        <f>AVERAGE(B160:B179)</f>
        <v>94.289500000000004</v>
      </c>
      <c r="D160">
        <f>AVERAGE(C160:C259)</f>
        <v>73.427840000000003</v>
      </c>
      <c r="E160">
        <f>MIN(B160:B209)</f>
        <v>80.52</v>
      </c>
      <c r="F160">
        <f>MAX(B160:B209)</f>
        <v>97.86</v>
      </c>
      <c r="I160" t="str">
        <f t="shared" si="5"/>
        <v>Negative slope</v>
      </c>
      <c r="J160" t="str">
        <f t="shared" si="6"/>
        <v>Negative slope</v>
      </c>
    </row>
    <row r="161" spans="1:10" x14ac:dyDescent="0.2">
      <c r="A161" s="20">
        <v>41871</v>
      </c>
      <c r="B161">
        <v>96.4</v>
      </c>
      <c r="C161">
        <f>AVERAGE(B161:B180)</f>
        <v>94.288500000000013</v>
      </c>
      <c r="D161">
        <f>AVERAGE(C161:C260)</f>
        <v>72.961775000000003</v>
      </c>
      <c r="E161">
        <f>MIN(B161:B210)</f>
        <v>80.52</v>
      </c>
      <c r="F161">
        <f>MAX(B161:B210)</f>
        <v>97.86</v>
      </c>
      <c r="I161" t="str">
        <f t="shared" si="5"/>
        <v>Negative slope</v>
      </c>
      <c r="J161" t="str">
        <f t="shared" si="6"/>
        <v>Negative slope</v>
      </c>
    </row>
    <row r="162" spans="1:10" x14ac:dyDescent="0.2">
      <c r="A162" s="20">
        <v>41872</v>
      </c>
      <c r="B162">
        <v>93.97</v>
      </c>
      <c r="C162">
        <f>AVERAGE(B162:B181)</f>
        <v>94.122</v>
      </c>
      <c r="D162">
        <f>AVERAGE(C162:C261)</f>
        <v>72.497720000000001</v>
      </c>
      <c r="E162">
        <f>MIN(B162:B211)</f>
        <v>80.52</v>
      </c>
      <c r="F162">
        <f>MAX(B162:B211)</f>
        <v>97.86</v>
      </c>
      <c r="I162" t="str">
        <f t="shared" si="5"/>
        <v>Negative slope</v>
      </c>
      <c r="J162" t="str">
        <f t="shared" si="6"/>
        <v>Negative slope</v>
      </c>
    </row>
    <row r="163" spans="1:10" x14ac:dyDescent="0.2">
      <c r="A163" s="20">
        <v>41873</v>
      </c>
      <c r="B163">
        <v>93.61</v>
      </c>
      <c r="C163">
        <f>AVERAGE(B163:B182)</f>
        <v>94.045000000000002</v>
      </c>
      <c r="D163">
        <f>AVERAGE(C163:C262)</f>
        <v>72.036770000000004</v>
      </c>
      <c r="E163">
        <f>MIN(B163:B212)</f>
        <v>80.52</v>
      </c>
      <c r="F163">
        <f>MAX(B163:B212)</f>
        <v>97.86</v>
      </c>
      <c r="I163" t="str">
        <f t="shared" si="5"/>
        <v>Negative slope</v>
      </c>
      <c r="J163" t="str">
        <f t="shared" si="6"/>
        <v>Negative slope</v>
      </c>
    </row>
    <row r="164" spans="1:10" x14ac:dyDescent="0.2">
      <c r="A164" s="20">
        <v>41876</v>
      </c>
      <c r="B164">
        <v>95.39</v>
      </c>
      <c r="C164">
        <f>AVERAGE(B164:B183)</f>
        <v>93.9375</v>
      </c>
      <c r="D164">
        <f>AVERAGE(C164:C263)</f>
        <v>71.577930000000009</v>
      </c>
      <c r="E164">
        <f>MIN(B164:B213)</f>
        <v>78.77</v>
      </c>
      <c r="F164">
        <f>MAX(B164:B213)</f>
        <v>97.86</v>
      </c>
      <c r="I164" t="str">
        <f t="shared" si="5"/>
        <v>Negative slope</v>
      </c>
      <c r="J164" t="str">
        <f t="shared" si="6"/>
        <v>Negative slope</v>
      </c>
    </row>
    <row r="165" spans="1:10" x14ac:dyDescent="0.2">
      <c r="A165" s="20">
        <v>41877</v>
      </c>
      <c r="B165">
        <v>95.78</v>
      </c>
      <c r="C165">
        <f>AVERAGE(B165:B184)</f>
        <v>93.745499999999993</v>
      </c>
      <c r="D165">
        <f>AVERAGE(C165:C264)</f>
        <v>71.123310000000004</v>
      </c>
      <c r="E165">
        <f>MIN(B165:B214)</f>
        <v>77.150000000000006</v>
      </c>
      <c r="F165">
        <f>MAX(B165:B214)</f>
        <v>97.86</v>
      </c>
      <c r="I165" t="str">
        <f t="shared" si="5"/>
        <v>Negative slope</v>
      </c>
      <c r="J165" t="str">
        <f t="shared" si="6"/>
        <v>Negative slope</v>
      </c>
    </row>
    <row r="166" spans="1:10" x14ac:dyDescent="0.2">
      <c r="A166" s="20">
        <v>41878</v>
      </c>
      <c r="B166">
        <v>95.82</v>
      </c>
      <c r="C166">
        <f>AVERAGE(B166:B185)</f>
        <v>93.636499999999998</v>
      </c>
      <c r="D166">
        <f>AVERAGE(C166:C265)</f>
        <v>70.672695000000004</v>
      </c>
      <c r="E166">
        <f>MIN(B166:B215)</f>
        <v>77.150000000000006</v>
      </c>
      <c r="F166">
        <f>MAX(B166:B215)</f>
        <v>97.86</v>
      </c>
      <c r="I166" t="str">
        <f t="shared" si="5"/>
        <v>Negative slope</v>
      </c>
      <c r="J166" t="str">
        <f t="shared" si="6"/>
        <v>Negative slope</v>
      </c>
    </row>
    <row r="167" spans="1:10" x14ac:dyDescent="0.2">
      <c r="A167" s="20">
        <v>41879</v>
      </c>
      <c r="B167">
        <v>96.44</v>
      </c>
      <c r="C167">
        <f>AVERAGE(B167:B186)</f>
        <v>93.524999999999991</v>
      </c>
      <c r="D167">
        <f>AVERAGE(C167:C266)</f>
        <v>70.226555000000005</v>
      </c>
      <c r="E167">
        <f>MIN(B167:B216)</f>
        <v>77.150000000000006</v>
      </c>
      <c r="F167">
        <f>MAX(B167:B216)</f>
        <v>97.86</v>
      </c>
      <c r="I167" t="str">
        <f t="shared" si="5"/>
        <v>Negative slope</v>
      </c>
      <c r="J167" t="str">
        <f t="shared" si="6"/>
        <v>Negative slope</v>
      </c>
    </row>
    <row r="168" spans="1:10" x14ac:dyDescent="0.2">
      <c r="A168" s="20">
        <v>41880</v>
      </c>
      <c r="B168">
        <v>97.86</v>
      </c>
      <c r="C168">
        <f>AVERAGE(B168:B187)</f>
        <v>93.480499999999978</v>
      </c>
      <c r="D168">
        <f>AVERAGE(C168:C267)</f>
        <v>69.783670000000001</v>
      </c>
      <c r="E168">
        <f>MIN(B168:B217)</f>
        <v>77.150000000000006</v>
      </c>
      <c r="F168">
        <f>MAX(B168:B217)</f>
        <v>97.86</v>
      </c>
      <c r="I168" t="str">
        <f t="shared" si="5"/>
        <v>Negative slope</v>
      </c>
      <c r="J168" t="str">
        <f t="shared" si="6"/>
        <v>Negative slope</v>
      </c>
    </row>
    <row r="169" spans="1:10" x14ac:dyDescent="0.2">
      <c r="A169" s="20">
        <v>41884</v>
      </c>
      <c r="B169">
        <v>92.92</v>
      </c>
      <c r="C169">
        <f>AVERAGE(B169:B188)</f>
        <v>93.313999999999993</v>
      </c>
      <c r="D169">
        <f>AVERAGE(C169:C268)</f>
        <v>69.343824999999995</v>
      </c>
      <c r="E169">
        <f>MIN(B169:B218)</f>
        <v>77.150000000000006</v>
      </c>
      <c r="F169">
        <f>MAX(B169:B218)</f>
        <v>95.55</v>
      </c>
      <c r="I169" t="str">
        <f t="shared" si="5"/>
        <v>Negative slope</v>
      </c>
      <c r="J169" t="str">
        <f t="shared" si="6"/>
        <v>Negative slope</v>
      </c>
    </row>
    <row r="170" spans="1:10" x14ac:dyDescent="0.2">
      <c r="A170" s="20">
        <v>41885</v>
      </c>
      <c r="B170">
        <v>95.5</v>
      </c>
      <c r="C170">
        <f>AVERAGE(B170:B189)</f>
        <v>93.226499999999987</v>
      </c>
      <c r="D170">
        <f>AVERAGE(C170:C269)</f>
        <v>68.907989999999984</v>
      </c>
      <c r="E170">
        <f>MIN(B170:B219)</f>
        <v>77.150000000000006</v>
      </c>
      <c r="F170">
        <f>MAX(B170:B219)</f>
        <v>95.55</v>
      </c>
      <c r="I170" t="str">
        <f t="shared" si="5"/>
        <v>Negative slope</v>
      </c>
      <c r="J170" t="str">
        <f t="shared" si="6"/>
        <v>Negative slope</v>
      </c>
    </row>
    <row r="171" spans="1:10" x14ac:dyDescent="0.2">
      <c r="A171" s="20">
        <v>41886</v>
      </c>
      <c r="B171">
        <v>94.51</v>
      </c>
      <c r="C171">
        <f>AVERAGE(B171:B190)</f>
        <v>92.988500000000002</v>
      </c>
      <c r="D171">
        <f>AVERAGE(C171:C270)</f>
        <v>68.475409999999982</v>
      </c>
      <c r="E171">
        <f>MIN(B171:B220)</f>
        <v>77.150000000000006</v>
      </c>
      <c r="F171">
        <f>MAX(B171:B220)</f>
        <v>95.55</v>
      </c>
      <c r="I171" t="str">
        <f t="shared" si="5"/>
        <v>Negative slope</v>
      </c>
      <c r="J171" t="str">
        <f t="shared" si="6"/>
        <v>Negative slope</v>
      </c>
    </row>
    <row r="172" spans="1:10" x14ac:dyDescent="0.2">
      <c r="A172" s="20">
        <v>41887</v>
      </c>
      <c r="B172">
        <v>93.32</v>
      </c>
      <c r="C172">
        <f>AVERAGE(B172:B191)</f>
        <v>92.813999999999993</v>
      </c>
      <c r="D172">
        <f>AVERAGE(C172:C271)</f>
        <v>68.046529999999976</v>
      </c>
      <c r="E172">
        <f>MIN(B172:B221)</f>
        <v>74.13</v>
      </c>
      <c r="F172">
        <f>MAX(B172:B221)</f>
        <v>95.55</v>
      </c>
      <c r="I172" t="str">
        <f t="shared" si="5"/>
        <v>Negative slope</v>
      </c>
      <c r="J172" t="str">
        <f t="shared" si="6"/>
        <v>Negative slope</v>
      </c>
    </row>
    <row r="173" spans="1:10" x14ac:dyDescent="0.2">
      <c r="A173" s="20">
        <v>41890</v>
      </c>
      <c r="B173">
        <v>92.64</v>
      </c>
      <c r="C173">
        <f>AVERAGE(B173:B192)</f>
        <v>92.635999999999996</v>
      </c>
      <c r="D173">
        <f>AVERAGE(C173:C272)</f>
        <v>67.622479999999968</v>
      </c>
      <c r="E173">
        <f>MIN(B173:B222)</f>
        <v>74.13</v>
      </c>
      <c r="F173">
        <f>MAX(B173:B222)</f>
        <v>95.55</v>
      </c>
      <c r="I173" t="str">
        <f t="shared" si="5"/>
        <v>Negative slope</v>
      </c>
      <c r="J173" t="str">
        <f t="shared" si="6"/>
        <v>Negative slope</v>
      </c>
    </row>
    <row r="174" spans="1:10" x14ac:dyDescent="0.2">
      <c r="A174" s="20">
        <v>41891</v>
      </c>
      <c r="B174">
        <v>92.73</v>
      </c>
      <c r="C174">
        <f>AVERAGE(B174:B193)</f>
        <v>92.520499999999998</v>
      </c>
      <c r="D174">
        <f>AVERAGE(C174:C273)</f>
        <v>67.201974999999976</v>
      </c>
      <c r="E174">
        <f>MIN(B174:B223)</f>
        <v>74.13</v>
      </c>
      <c r="F174">
        <f>MAX(B174:B223)</f>
        <v>95.55</v>
      </c>
      <c r="I174" t="str">
        <f t="shared" si="5"/>
        <v>Negative slope</v>
      </c>
      <c r="J174" t="str">
        <f t="shared" si="6"/>
        <v>Negative slope</v>
      </c>
    </row>
    <row r="175" spans="1:10" x14ac:dyDescent="0.2">
      <c r="A175" s="20">
        <v>41892</v>
      </c>
      <c r="B175">
        <v>91.71</v>
      </c>
      <c r="C175">
        <f>AVERAGE(B175:B194)</f>
        <v>92.328500000000005</v>
      </c>
      <c r="D175">
        <f>AVERAGE(C175:C274)</f>
        <v>66.783649999999966</v>
      </c>
      <c r="E175">
        <f>MIN(B175:B224)</f>
        <v>74.13</v>
      </c>
      <c r="F175">
        <f>MAX(B175:B224)</f>
        <v>95.55</v>
      </c>
      <c r="I175" t="str">
        <f t="shared" si="5"/>
        <v>Negative slope</v>
      </c>
      <c r="J175" t="str">
        <f t="shared" si="6"/>
        <v>Negative slope</v>
      </c>
    </row>
    <row r="176" spans="1:10" x14ac:dyDescent="0.2">
      <c r="A176" s="20">
        <v>41893</v>
      </c>
      <c r="B176">
        <v>92.89</v>
      </c>
      <c r="C176">
        <f>AVERAGE(B176:B195)</f>
        <v>92.107500000000002</v>
      </c>
      <c r="D176">
        <f>AVERAGE(C176:C275)</f>
        <v>66.36741499999998</v>
      </c>
      <c r="E176">
        <f>MIN(B176:B225)</f>
        <v>74.13</v>
      </c>
      <c r="F176">
        <f>MAX(B176:B225)</f>
        <v>95.55</v>
      </c>
      <c r="I176" t="str">
        <f t="shared" si="5"/>
        <v>Negative slope</v>
      </c>
      <c r="J176" t="str">
        <f t="shared" si="6"/>
        <v>Negative slope</v>
      </c>
    </row>
    <row r="177" spans="1:10" x14ac:dyDescent="0.2">
      <c r="A177" s="20">
        <v>41894</v>
      </c>
      <c r="B177">
        <v>92.18</v>
      </c>
      <c r="C177">
        <f>AVERAGE(B177:B196)</f>
        <v>91.751000000000005</v>
      </c>
      <c r="D177">
        <f>AVERAGE(C177:C276)</f>
        <v>65.952084999999968</v>
      </c>
      <c r="E177">
        <f>MIN(B177:B226)</f>
        <v>74.13</v>
      </c>
      <c r="F177">
        <f>MAX(B177:B226)</f>
        <v>95.55</v>
      </c>
      <c r="I177" t="str">
        <f t="shared" si="5"/>
        <v>Negative slope</v>
      </c>
      <c r="J177" t="str">
        <f t="shared" si="6"/>
        <v>Negative slope</v>
      </c>
    </row>
    <row r="178" spans="1:10" x14ac:dyDescent="0.2">
      <c r="A178" s="20">
        <v>41897</v>
      </c>
      <c r="B178">
        <v>92.86</v>
      </c>
      <c r="C178">
        <f>AVERAGE(B178:B197)</f>
        <v>91.435500000000005</v>
      </c>
      <c r="D178">
        <f>AVERAGE(C178:C277)</f>
        <v>65.541859999999971</v>
      </c>
      <c r="E178">
        <f>MIN(B178:B227)</f>
        <v>74.13</v>
      </c>
      <c r="F178">
        <f>MAX(B178:B227)</f>
        <v>95.55</v>
      </c>
      <c r="I178" t="str">
        <f t="shared" si="5"/>
        <v>Negative slope</v>
      </c>
      <c r="J178" t="str">
        <f t="shared" si="6"/>
        <v>Negative slope</v>
      </c>
    </row>
    <row r="179" spans="1:10" x14ac:dyDescent="0.2">
      <c r="A179" s="20">
        <v>41898</v>
      </c>
      <c r="B179">
        <v>94.91</v>
      </c>
      <c r="C179">
        <f>AVERAGE(B179:B198)</f>
        <v>91.078999999999994</v>
      </c>
      <c r="D179">
        <f>AVERAGE(C179:C278)</f>
        <v>65.134929999999983</v>
      </c>
      <c r="E179">
        <f>MIN(B179:B228)</f>
        <v>74.13</v>
      </c>
      <c r="F179">
        <f>MAX(B179:B228)</f>
        <v>95.55</v>
      </c>
      <c r="I179" t="str">
        <f t="shared" si="5"/>
        <v>Negative slope</v>
      </c>
      <c r="J179" t="str">
        <f t="shared" si="6"/>
        <v>Negative slope</v>
      </c>
    </row>
    <row r="180" spans="1:10" x14ac:dyDescent="0.2">
      <c r="A180" s="20">
        <v>41899</v>
      </c>
      <c r="B180">
        <v>94.33</v>
      </c>
      <c r="C180">
        <f>AVERAGE(B180:B199)</f>
        <v>90.419499999999999</v>
      </c>
      <c r="D180">
        <f>AVERAGE(C180:C279)</f>
        <v>64.730539999999976</v>
      </c>
      <c r="E180">
        <f>MIN(B180:B229)</f>
        <v>74.040000000000006</v>
      </c>
      <c r="F180">
        <f>MAX(B180:B229)</f>
        <v>95.55</v>
      </c>
      <c r="I180" t="str">
        <f t="shared" si="5"/>
        <v>Negative slope</v>
      </c>
      <c r="J180" t="str">
        <f t="shared" si="6"/>
        <v>Negative slope</v>
      </c>
    </row>
    <row r="181" spans="1:10" x14ac:dyDescent="0.2">
      <c r="A181" s="20">
        <v>41900</v>
      </c>
      <c r="B181">
        <v>93.07</v>
      </c>
      <c r="C181">
        <f>AVERAGE(B181:B200)</f>
        <v>89.794000000000011</v>
      </c>
      <c r="D181">
        <f>AVERAGE(C181:C280)</f>
        <v>64.331224999999975</v>
      </c>
      <c r="E181">
        <f>MIN(B181:B230)</f>
        <v>73.7</v>
      </c>
      <c r="F181">
        <f>MAX(B181:B230)</f>
        <v>95.55</v>
      </c>
      <c r="I181" t="str">
        <f t="shared" si="5"/>
        <v>Negative slope</v>
      </c>
      <c r="J181" t="str">
        <f t="shared" si="6"/>
        <v>Negative slope</v>
      </c>
    </row>
    <row r="182" spans="1:10" x14ac:dyDescent="0.2">
      <c r="A182" s="20">
        <v>41901</v>
      </c>
      <c r="B182">
        <v>92.43</v>
      </c>
      <c r="C182">
        <f>AVERAGE(B182:B201)</f>
        <v>89.256999999999991</v>
      </c>
      <c r="D182">
        <f>AVERAGE(C182:C281)</f>
        <v>63.937344999999979</v>
      </c>
      <c r="E182">
        <f>MIN(B182:B231)</f>
        <v>65.94</v>
      </c>
      <c r="F182">
        <f>MAX(B182:B231)</f>
        <v>95.55</v>
      </c>
      <c r="I182" t="str">
        <f t="shared" si="5"/>
        <v>Negative slope</v>
      </c>
      <c r="J182" t="str">
        <f t="shared" si="6"/>
        <v>Negative slope</v>
      </c>
    </row>
    <row r="183" spans="1:10" x14ac:dyDescent="0.2">
      <c r="A183" s="20">
        <v>41904</v>
      </c>
      <c r="B183">
        <v>91.46</v>
      </c>
      <c r="C183">
        <f>AVERAGE(B183:B202)</f>
        <v>88.775499999999994</v>
      </c>
      <c r="D183">
        <f>AVERAGE(C183:C282)</f>
        <v>63.548464999999979</v>
      </c>
      <c r="E183">
        <f>MIN(B183:B232)</f>
        <v>65.94</v>
      </c>
      <c r="F183">
        <f>MAX(B183:B232)</f>
        <v>95.55</v>
      </c>
      <c r="I183" t="str">
        <f t="shared" si="5"/>
        <v>Negative slope</v>
      </c>
      <c r="J183" t="str">
        <f t="shared" si="6"/>
        <v>Negative slope</v>
      </c>
    </row>
    <row r="184" spans="1:10" x14ac:dyDescent="0.2">
      <c r="A184" s="20">
        <v>41905</v>
      </c>
      <c r="B184">
        <v>91.55</v>
      </c>
      <c r="C184">
        <f>AVERAGE(B184:B203)</f>
        <v>88.340499999999992</v>
      </c>
      <c r="D184">
        <f>AVERAGE(C184:C283)</f>
        <v>63.162374999999983</v>
      </c>
      <c r="E184">
        <f>MIN(B184:B233)</f>
        <v>65.94</v>
      </c>
      <c r="F184">
        <f>MAX(B184:B233)</f>
        <v>95.55</v>
      </c>
      <c r="I184" t="str">
        <f t="shared" si="5"/>
        <v>Negative slope</v>
      </c>
      <c r="J184" t="str">
        <f t="shared" si="6"/>
        <v>Negative slope</v>
      </c>
    </row>
    <row r="185" spans="1:10" x14ac:dyDescent="0.2">
      <c r="A185" s="20">
        <v>41906</v>
      </c>
      <c r="B185">
        <v>93.6</v>
      </c>
      <c r="C185">
        <f>AVERAGE(B185:B204)</f>
        <v>87.925499999999985</v>
      </c>
      <c r="D185">
        <f>AVERAGE(C185:C284)</f>
        <v>62.776744999999991</v>
      </c>
      <c r="E185">
        <f>MIN(B185:B234)</f>
        <v>65.94</v>
      </c>
      <c r="F185">
        <f>MAX(B185:B234)</f>
        <v>95.55</v>
      </c>
      <c r="I185" t="str">
        <f t="shared" si="5"/>
        <v>Negative slope</v>
      </c>
      <c r="J185" t="str">
        <f t="shared" si="6"/>
        <v>Negative slope</v>
      </c>
    </row>
    <row r="186" spans="1:10" x14ac:dyDescent="0.2">
      <c r="A186" s="20">
        <v>41907</v>
      </c>
      <c r="B186">
        <v>93.59</v>
      </c>
      <c r="C186">
        <f>AVERAGE(B186:B205)</f>
        <v>87.271499999999989</v>
      </c>
      <c r="D186">
        <f>AVERAGE(C186:C285)</f>
        <v>62.390900000000002</v>
      </c>
      <c r="E186">
        <f>MIN(B186:B235)</f>
        <v>65.94</v>
      </c>
      <c r="F186">
        <f>MAX(B186:B235)</f>
        <v>95.55</v>
      </c>
      <c r="I186" t="str">
        <f t="shared" si="5"/>
        <v>Negative slope</v>
      </c>
      <c r="J186" t="str">
        <f t="shared" si="6"/>
        <v>Negative slope</v>
      </c>
    </row>
    <row r="187" spans="1:10" x14ac:dyDescent="0.2">
      <c r="A187" s="20">
        <v>41908</v>
      </c>
      <c r="B187">
        <v>95.55</v>
      </c>
      <c r="C187">
        <f>AVERAGE(B187:B206)</f>
        <v>86.732499999999987</v>
      </c>
      <c r="D187">
        <f>AVERAGE(C187:C286)</f>
        <v>62.006510000000006</v>
      </c>
      <c r="E187">
        <f>MIN(B187:B236)</f>
        <v>65.89</v>
      </c>
      <c r="F187">
        <f>MAX(B187:B236)</f>
        <v>95.55</v>
      </c>
      <c r="I187" t="str">
        <f t="shared" si="5"/>
        <v>Negative slope</v>
      </c>
      <c r="J187" t="str">
        <f t="shared" si="6"/>
        <v>Negative slope</v>
      </c>
    </row>
    <row r="188" spans="1:10" x14ac:dyDescent="0.2">
      <c r="A188" s="20">
        <v>41911</v>
      </c>
      <c r="B188">
        <v>94.53</v>
      </c>
      <c r="C188">
        <f>AVERAGE(B188:B207)</f>
        <v>86.018499999999989</v>
      </c>
      <c r="D188">
        <f>AVERAGE(C188:C287)</f>
        <v>61.623760000000004</v>
      </c>
      <c r="E188">
        <f>MIN(B188:B237)</f>
        <v>63.13</v>
      </c>
      <c r="F188">
        <f>MAX(B188:B237)</f>
        <v>94.53</v>
      </c>
      <c r="I188" t="str">
        <f t="shared" si="5"/>
        <v>Negative slope</v>
      </c>
      <c r="J188" t="str">
        <f t="shared" si="6"/>
        <v>Negative slope</v>
      </c>
    </row>
    <row r="189" spans="1:10" x14ac:dyDescent="0.2">
      <c r="A189" s="20">
        <v>41912</v>
      </c>
      <c r="B189">
        <v>91.17</v>
      </c>
      <c r="C189">
        <f>AVERAGE(B189:B208)</f>
        <v>85.35499999999999</v>
      </c>
      <c r="D189">
        <f>AVERAGE(C189:C288)</f>
        <v>61.244599999999998</v>
      </c>
      <c r="E189">
        <f>MIN(B189:B238)</f>
        <v>63.13</v>
      </c>
      <c r="F189">
        <f>MAX(B189:B238)</f>
        <v>91.17</v>
      </c>
      <c r="I189" t="str">
        <f t="shared" si="5"/>
        <v>Negative slope</v>
      </c>
      <c r="J189" t="str">
        <f t="shared" si="6"/>
        <v>Negative slope</v>
      </c>
    </row>
    <row r="190" spans="1:10" x14ac:dyDescent="0.2">
      <c r="A190" s="20">
        <v>41913</v>
      </c>
      <c r="B190">
        <v>90.74</v>
      </c>
      <c r="C190">
        <f>AVERAGE(B190:B209)</f>
        <v>84.864499999999992</v>
      </c>
      <c r="D190">
        <f>AVERAGE(C190:C289)</f>
        <v>60.870100000000008</v>
      </c>
      <c r="E190">
        <f>MIN(B190:B239)</f>
        <v>60.99</v>
      </c>
      <c r="F190">
        <f>MAX(B190:B239)</f>
        <v>91.02</v>
      </c>
      <c r="I190" t="str">
        <f t="shared" si="5"/>
        <v>Negative slope</v>
      </c>
      <c r="J190" t="str">
        <f t="shared" si="6"/>
        <v>Negative slope</v>
      </c>
    </row>
    <row r="191" spans="1:10" x14ac:dyDescent="0.2">
      <c r="A191" s="20">
        <v>41914</v>
      </c>
      <c r="B191">
        <v>91.02</v>
      </c>
      <c r="C191">
        <f>AVERAGE(B191:B210)</f>
        <v>84.44</v>
      </c>
      <c r="D191">
        <f>AVERAGE(C191:C290)</f>
        <v>60.499425000000009</v>
      </c>
      <c r="E191">
        <f>MIN(B191:B240)</f>
        <v>60.01</v>
      </c>
      <c r="F191">
        <f>MAX(B191:B240)</f>
        <v>91.02</v>
      </c>
      <c r="I191" t="str">
        <f t="shared" si="5"/>
        <v>Negative slope</v>
      </c>
      <c r="J191" t="str">
        <f t="shared" si="6"/>
        <v>Negative slope</v>
      </c>
    </row>
    <row r="192" spans="1:10" x14ac:dyDescent="0.2">
      <c r="A192" s="20">
        <v>41915</v>
      </c>
      <c r="B192">
        <v>89.76</v>
      </c>
      <c r="C192">
        <f>AVERAGE(B192:B211)</f>
        <v>83.941999999999993</v>
      </c>
      <c r="D192">
        <f>AVERAGE(C192:C291)</f>
        <v>60.13227000000002</v>
      </c>
      <c r="E192">
        <f>MIN(B192:B241)</f>
        <v>57.81</v>
      </c>
      <c r="F192">
        <f>MAX(B192:B241)</f>
        <v>90.33</v>
      </c>
      <c r="I192" t="str">
        <f t="shared" si="5"/>
        <v>Negative slope</v>
      </c>
      <c r="J192" t="str">
        <f t="shared" si="6"/>
        <v>Negative slope</v>
      </c>
    </row>
    <row r="193" spans="1:10" x14ac:dyDescent="0.2">
      <c r="A193" s="20">
        <v>41918</v>
      </c>
      <c r="B193">
        <v>90.33</v>
      </c>
      <c r="C193">
        <f>AVERAGE(B193:B212)</f>
        <v>83.480499999999992</v>
      </c>
      <c r="D193">
        <f>AVERAGE(C193:C292)</f>
        <v>59.769345000000015</v>
      </c>
      <c r="E193">
        <f>MIN(B193:B242)</f>
        <v>55.96</v>
      </c>
      <c r="F193">
        <f>MAX(B193:B242)</f>
        <v>90.33</v>
      </c>
      <c r="I193" t="str">
        <f t="shared" si="5"/>
        <v>Negative slope</v>
      </c>
      <c r="J193" t="str">
        <f t="shared" si="6"/>
        <v>Negative slope</v>
      </c>
    </row>
    <row r="194" spans="1:10" x14ac:dyDescent="0.2">
      <c r="A194" s="20">
        <v>41919</v>
      </c>
      <c r="B194">
        <v>88.89</v>
      </c>
      <c r="C194">
        <f>AVERAGE(B194:B213)</f>
        <v>82.902499999999989</v>
      </c>
      <c r="D194">
        <f>AVERAGE(C194:C293)</f>
        <v>59.412915000000012</v>
      </c>
      <c r="E194">
        <f>MIN(B194:B243)</f>
        <v>55.96</v>
      </c>
      <c r="F194">
        <f>MAX(B194:B243)</f>
        <v>88.89</v>
      </c>
      <c r="I194" t="str">
        <f t="shared" si="5"/>
        <v>Negative slope</v>
      </c>
      <c r="J194" t="str">
        <f t="shared" si="6"/>
        <v>Negative slope</v>
      </c>
    </row>
    <row r="195" spans="1:10" x14ac:dyDescent="0.2">
      <c r="A195" s="20">
        <v>41920</v>
      </c>
      <c r="B195">
        <v>87.29</v>
      </c>
      <c r="C195">
        <f>AVERAGE(B195:B214)</f>
        <v>82.315499999999986</v>
      </c>
      <c r="D195">
        <f>AVERAGE(C195:C294)</f>
        <v>59.061760000000021</v>
      </c>
      <c r="E195">
        <f>MIN(B195:B244)</f>
        <v>55.96</v>
      </c>
      <c r="F195">
        <f>MAX(B195:B244)</f>
        <v>87.29</v>
      </c>
      <c r="I195" t="str">
        <f t="shared" ref="I195:I258" si="7">IF((C196-C195)&gt;0, "Positive slope", "Negative slope")</f>
        <v>Negative slope</v>
      </c>
      <c r="J195" t="str">
        <f t="shared" ref="J195:J258" si="8">IF((D196-D195)&gt;0, "Positive slope", "Negative slope")</f>
        <v>Negative slope</v>
      </c>
    </row>
    <row r="196" spans="1:10" x14ac:dyDescent="0.2">
      <c r="A196" s="20">
        <v>41921</v>
      </c>
      <c r="B196">
        <v>85.76</v>
      </c>
      <c r="C196">
        <f>AVERAGE(B196:B215)</f>
        <v>81.886499999999984</v>
      </c>
      <c r="D196">
        <f>AVERAGE(C196:C295)</f>
        <v>58.716010000000011</v>
      </c>
      <c r="E196">
        <f>MIN(B196:B245)</f>
        <v>54.18</v>
      </c>
      <c r="F196">
        <f>MAX(B196:B245)</f>
        <v>85.87</v>
      </c>
      <c r="I196" t="str">
        <f t="shared" si="7"/>
        <v>Negative slope</v>
      </c>
      <c r="J196" t="str">
        <f t="shared" si="8"/>
        <v>Negative slope</v>
      </c>
    </row>
    <row r="197" spans="1:10" x14ac:dyDescent="0.2">
      <c r="A197" s="20">
        <v>41922</v>
      </c>
      <c r="B197">
        <v>85.87</v>
      </c>
      <c r="C197">
        <f>AVERAGE(B197:B216)</f>
        <v>81.49199999999999</v>
      </c>
      <c r="D197">
        <f>AVERAGE(C197:C296)</f>
        <v>58.373195000000017</v>
      </c>
      <c r="E197">
        <f>MIN(B197:B246)</f>
        <v>54.18</v>
      </c>
      <c r="F197">
        <f>MAX(B197:B246)</f>
        <v>85.87</v>
      </c>
      <c r="I197" t="str">
        <f t="shared" si="7"/>
        <v>Negative slope</v>
      </c>
      <c r="J197" t="str">
        <f t="shared" si="8"/>
        <v>Negative slope</v>
      </c>
    </row>
    <row r="198" spans="1:10" x14ac:dyDescent="0.2">
      <c r="A198" s="20">
        <v>41925</v>
      </c>
      <c r="B198">
        <v>85.73</v>
      </c>
      <c r="C198">
        <f>AVERAGE(B198:B217)</f>
        <v>81.134000000000015</v>
      </c>
      <c r="D198">
        <f>AVERAGE(C198:C297)</f>
        <v>58.033619999999999</v>
      </c>
      <c r="E198">
        <f>MIN(B198:B247)</f>
        <v>54.18</v>
      </c>
      <c r="F198">
        <f>MAX(B198:B247)</f>
        <v>85.73</v>
      </c>
      <c r="I198" t="str">
        <f t="shared" si="7"/>
        <v>Negative slope</v>
      </c>
      <c r="J198" t="str">
        <f t="shared" si="8"/>
        <v>Negative slope</v>
      </c>
    </row>
    <row r="199" spans="1:10" x14ac:dyDescent="0.2">
      <c r="A199" s="20">
        <v>41926</v>
      </c>
      <c r="B199">
        <v>81.72</v>
      </c>
      <c r="C199">
        <f>AVERAGE(B199:B218)</f>
        <v>80.719000000000023</v>
      </c>
      <c r="D199">
        <f>AVERAGE(C199:C298)</f>
        <v>57.696810000000013</v>
      </c>
      <c r="E199">
        <f>MIN(B199:B248)</f>
        <v>54.18</v>
      </c>
      <c r="F199">
        <f>MAX(B199:B248)</f>
        <v>83.25</v>
      </c>
      <c r="I199" t="str">
        <f t="shared" si="7"/>
        <v>Negative slope</v>
      </c>
      <c r="J199" t="str">
        <f t="shared" si="8"/>
        <v>Negative slope</v>
      </c>
    </row>
    <row r="200" spans="1:10" x14ac:dyDescent="0.2">
      <c r="A200" s="20">
        <v>41927</v>
      </c>
      <c r="B200">
        <v>81.819999999999993</v>
      </c>
      <c r="C200">
        <f>AVERAGE(B200:B219)</f>
        <v>80.525499999999994</v>
      </c>
      <c r="D200">
        <f>AVERAGE(C200:C299)</f>
        <v>57.363910000000011</v>
      </c>
      <c r="E200">
        <f>MIN(B200:B249)</f>
        <v>54.18</v>
      </c>
      <c r="F200">
        <f>MAX(B200:B249)</f>
        <v>83.25</v>
      </c>
      <c r="I200" t="str">
        <f t="shared" si="7"/>
        <v>Negative slope</v>
      </c>
      <c r="J200" t="str">
        <f t="shared" si="8"/>
        <v>Negative slope</v>
      </c>
    </row>
    <row r="201" spans="1:10" x14ac:dyDescent="0.2">
      <c r="A201" s="20">
        <v>41928</v>
      </c>
      <c r="B201">
        <v>82.33</v>
      </c>
      <c r="C201">
        <f>AVERAGE(B201:B220)</f>
        <v>80.292500000000018</v>
      </c>
      <c r="D201">
        <f>AVERAGE(C201:C300)</f>
        <v>57.034010000000016</v>
      </c>
      <c r="E201">
        <f>MIN(B201:B250)</f>
        <v>54.18</v>
      </c>
      <c r="F201">
        <f>MAX(B201:B250)</f>
        <v>83.25</v>
      </c>
      <c r="I201" t="str">
        <f t="shared" si="7"/>
        <v>Negative slope</v>
      </c>
      <c r="J201" t="str">
        <f t="shared" si="8"/>
        <v>Negative slope</v>
      </c>
    </row>
    <row r="202" spans="1:10" x14ac:dyDescent="0.2">
      <c r="A202" s="20">
        <v>41929</v>
      </c>
      <c r="B202">
        <v>82.8</v>
      </c>
      <c r="C202">
        <f>AVERAGE(B202:B221)</f>
        <v>79.882500000000007</v>
      </c>
      <c r="D202">
        <f>AVERAGE(C202:C301)</f>
        <v>56.709205000000019</v>
      </c>
      <c r="E202">
        <f>MIN(B202:B251)</f>
        <v>53.46</v>
      </c>
      <c r="F202">
        <f>MAX(B202:B251)</f>
        <v>83.25</v>
      </c>
      <c r="I202" t="str">
        <f t="shared" si="7"/>
        <v>Negative slope</v>
      </c>
      <c r="J202" t="str">
        <f t="shared" si="8"/>
        <v>Negative slope</v>
      </c>
    </row>
    <row r="203" spans="1:10" x14ac:dyDescent="0.2">
      <c r="A203" s="20">
        <v>41932</v>
      </c>
      <c r="B203">
        <v>82.76</v>
      </c>
      <c r="C203">
        <f>AVERAGE(B203:B222)</f>
        <v>79.537999999999997</v>
      </c>
      <c r="D203">
        <f>AVERAGE(C203:C302)</f>
        <v>56.389690000000016</v>
      </c>
      <c r="E203">
        <f>MIN(B203:B252)</f>
        <v>53.46</v>
      </c>
      <c r="F203">
        <f>MAX(B203:B252)</f>
        <v>83.25</v>
      </c>
      <c r="I203" t="str">
        <f t="shared" si="7"/>
        <v>Negative slope</v>
      </c>
      <c r="J203" t="str">
        <f t="shared" si="8"/>
        <v>Negative slope</v>
      </c>
    </row>
    <row r="204" spans="1:10" x14ac:dyDescent="0.2">
      <c r="A204" s="20">
        <v>41933</v>
      </c>
      <c r="B204">
        <v>83.25</v>
      </c>
      <c r="C204">
        <f>AVERAGE(B204:B223)</f>
        <v>79.182000000000016</v>
      </c>
      <c r="D204">
        <f>AVERAGE(C204:C303)</f>
        <v>56.075455000000019</v>
      </c>
      <c r="E204">
        <f>MIN(B204:B253)</f>
        <v>53.45</v>
      </c>
      <c r="F204">
        <f>MAX(B204:B253)</f>
        <v>83.25</v>
      </c>
      <c r="I204" t="str">
        <f t="shared" si="7"/>
        <v>Negative slope</v>
      </c>
      <c r="J204" t="str">
        <f t="shared" si="8"/>
        <v>Negative slope</v>
      </c>
    </row>
    <row r="205" spans="1:10" x14ac:dyDescent="0.2">
      <c r="A205" s="20">
        <v>41934</v>
      </c>
      <c r="B205">
        <v>80.52</v>
      </c>
      <c r="C205">
        <f>AVERAGE(B205:B224)</f>
        <v>78.747000000000014</v>
      </c>
      <c r="D205">
        <f>AVERAGE(C205:C304)</f>
        <v>55.768155000000021</v>
      </c>
      <c r="E205">
        <f>MIN(B205:B254)</f>
        <v>52.72</v>
      </c>
      <c r="F205">
        <f>MAX(B205:B254)</f>
        <v>82.81</v>
      </c>
      <c r="I205" t="str">
        <f t="shared" si="7"/>
        <v>Negative slope</v>
      </c>
      <c r="J205" t="str">
        <f t="shared" si="8"/>
        <v>Negative slope</v>
      </c>
    </row>
    <row r="206" spans="1:10" x14ac:dyDescent="0.2">
      <c r="A206" s="20">
        <v>41935</v>
      </c>
      <c r="B206">
        <v>82.81</v>
      </c>
      <c r="C206">
        <f>AVERAGE(B206:B225)</f>
        <v>78.44850000000001</v>
      </c>
      <c r="D206">
        <f>AVERAGE(C206:C305)</f>
        <v>55.469215000000034</v>
      </c>
      <c r="E206">
        <f>MIN(B206:B255)</f>
        <v>50.05</v>
      </c>
      <c r="F206">
        <f>MAX(B206:B255)</f>
        <v>82.81</v>
      </c>
      <c r="I206" t="str">
        <f t="shared" si="7"/>
        <v>Negative slope</v>
      </c>
      <c r="J206" t="str">
        <f t="shared" si="8"/>
        <v>Negative slope</v>
      </c>
    </row>
    <row r="207" spans="1:10" x14ac:dyDescent="0.2">
      <c r="A207" s="20">
        <v>41936</v>
      </c>
      <c r="B207">
        <v>81.27</v>
      </c>
      <c r="C207">
        <f>AVERAGE(B207:B226)</f>
        <v>78.089500000000015</v>
      </c>
      <c r="D207">
        <f>AVERAGE(C207:C306)</f>
        <v>55.17821500000003</v>
      </c>
      <c r="E207">
        <f>MIN(B207:B256)</f>
        <v>47.98</v>
      </c>
      <c r="F207">
        <f>MAX(B207:B256)</f>
        <v>82.25</v>
      </c>
      <c r="I207" t="str">
        <f t="shared" si="7"/>
        <v>Negative slope</v>
      </c>
      <c r="J207" t="str">
        <f t="shared" si="8"/>
        <v>Negative slope</v>
      </c>
    </row>
    <row r="208" spans="1:10" x14ac:dyDescent="0.2">
      <c r="A208" s="20">
        <v>41939</v>
      </c>
      <c r="B208">
        <v>81.260000000000005</v>
      </c>
      <c r="C208">
        <f>AVERAGE(B208:B227)</f>
        <v>77.852000000000018</v>
      </c>
      <c r="D208">
        <f>AVERAGE(C208:C307)</f>
        <v>54.896615000000025</v>
      </c>
      <c r="E208">
        <f>MIN(B208:B257)</f>
        <v>47.98</v>
      </c>
      <c r="F208">
        <f>MAX(B208:B257)</f>
        <v>82.25</v>
      </c>
      <c r="I208" t="str">
        <f t="shared" si="7"/>
        <v>Negative slope</v>
      </c>
      <c r="J208" t="str">
        <f t="shared" si="8"/>
        <v>Negative slope</v>
      </c>
    </row>
    <row r="209" spans="1:10" x14ac:dyDescent="0.2">
      <c r="A209" s="20">
        <v>41940</v>
      </c>
      <c r="B209">
        <v>81.36</v>
      </c>
      <c r="C209">
        <f>AVERAGE(B209:B228)</f>
        <v>77.576000000000008</v>
      </c>
      <c r="D209">
        <f>AVERAGE(C209:C308)</f>
        <v>54.623725000000022</v>
      </c>
      <c r="E209">
        <f>MIN(B209:B258)</f>
        <v>47.98</v>
      </c>
      <c r="F209">
        <f>MAX(B209:B258)</f>
        <v>82.25</v>
      </c>
      <c r="I209" t="str">
        <f t="shared" si="7"/>
        <v>Negative slope</v>
      </c>
      <c r="J209" t="str">
        <f t="shared" si="8"/>
        <v>Negative slope</v>
      </c>
    </row>
    <row r="210" spans="1:10" x14ac:dyDescent="0.2">
      <c r="A210" s="20">
        <v>41941</v>
      </c>
      <c r="B210">
        <v>82.25</v>
      </c>
      <c r="C210">
        <f>AVERAGE(B210:B229)</f>
        <v>77.210000000000008</v>
      </c>
      <c r="D210">
        <f>AVERAGE(C210:C309)</f>
        <v>54.358450000000019</v>
      </c>
      <c r="E210">
        <f>MIN(B210:B259)</f>
        <v>47.98</v>
      </c>
      <c r="F210">
        <f>MAX(B210:B259)</f>
        <v>82.25</v>
      </c>
      <c r="I210" t="str">
        <f t="shared" si="7"/>
        <v>Negative slope</v>
      </c>
      <c r="J210" t="str">
        <f t="shared" si="8"/>
        <v>Negative slope</v>
      </c>
    </row>
    <row r="211" spans="1:10" x14ac:dyDescent="0.2">
      <c r="A211" s="20">
        <v>41942</v>
      </c>
      <c r="B211">
        <v>81.06</v>
      </c>
      <c r="C211">
        <f>AVERAGE(B211:B230)</f>
        <v>76.782499999999999</v>
      </c>
      <c r="D211">
        <f>AVERAGE(C211:C310)</f>
        <v>54.101320000000023</v>
      </c>
      <c r="E211">
        <f>MIN(B211:B260)</f>
        <v>46.06</v>
      </c>
      <c r="F211">
        <f>MAX(B211:B260)</f>
        <v>81.06</v>
      </c>
      <c r="I211" t="str">
        <f t="shared" si="7"/>
        <v>Negative slope</v>
      </c>
      <c r="J211" t="str">
        <f t="shared" si="8"/>
        <v>Negative slope</v>
      </c>
    </row>
    <row r="212" spans="1:10" x14ac:dyDescent="0.2">
      <c r="A212" s="20">
        <v>41943</v>
      </c>
      <c r="B212">
        <v>80.53</v>
      </c>
      <c r="C212">
        <f>AVERAGE(B212:B231)</f>
        <v>76.026500000000013</v>
      </c>
      <c r="D212">
        <f>AVERAGE(C212:C311)</f>
        <v>53.852740000000018</v>
      </c>
      <c r="E212">
        <f>MIN(B212:B261)</f>
        <v>45.92</v>
      </c>
      <c r="F212">
        <f>MAX(B212:B261)</f>
        <v>80.53</v>
      </c>
      <c r="I212" t="str">
        <f t="shared" si="7"/>
        <v>Negative slope</v>
      </c>
      <c r="J212" t="str">
        <f t="shared" si="8"/>
        <v>Negative slope</v>
      </c>
    </row>
    <row r="213" spans="1:10" x14ac:dyDescent="0.2">
      <c r="A213" s="20">
        <v>41946</v>
      </c>
      <c r="B213">
        <v>78.77</v>
      </c>
      <c r="C213">
        <f>AVERAGE(B213:B232)</f>
        <v>75.448999999999998</v>
      </c>
      <c r="D213">
        <f>AVERAGE(C213:C312)</f>
        <v>53.615430000000018</v>
      </c>
      <c r="E213">
        <f>MIN(B213:B262)</f>
        <v>45.92</v>
      </c>
      <c r="F213">
        <f>MAX(B213:B262)</f>
        <v>78.77</v>
      </c>
      <c r="I213" t="str">
        <f t="shared" si="7"/>
        <v>Negative slope</v>
      </c>
      <c r="J213" t="str">
        <f t="shared" si="8"/>
        <v>Negative slope</v>
      </c>
    </row>
    <row r="214" spans="1:10" x14ac:dyDescent="0.2">
      <c r="A214" s="20">
        <v>41947</v>
      </c>
      <c r="B214">
        <v>77.150000000000006</v>
      </c>
      <c r="C214">
        <f>AVERAGE(B214:B233)</f>
        <v>74.86</v>
      </c>
      <c r="D214">
        <f>AVERAGE(C214:C313)</f>
        <v>53.386485000000015</v>
      </c>
      <c r="E214">
        <f>MIN(B214:B263)</f>
        <v>45.92</v>
      </c>
      <c r="F214">
        <f>MAX(B214:B263)</f>
        <v>78.709999999999994</v>
      </c>
      <c r="I214" t="str">
        <f t="shared" si="7"/>
        <v>Negative slope</v>
      </c>
      <c r="J214" t="str">
        <f t="shared" si="8"/>
        <v>Negative slope</v>
      </c>
    </row>
    <row r="215" spans="1:10" x14ac:dyDescent="0.2">
      <c r="A215" s="20">
        <v>41948</v>
      </c>
      <c r="B215">
        <v>78.709999999999994</v>
      </c>
      <c r="C215">
        <f>AVERAGE(B215:B234)</f>
        <v>74.367499999999978</v>
      </c>
      <c r="D215">
        <f>AVERAGE(C215:C314)</f>
        <v>53.167005000000017</v>
      </c>
      <c r="E215">
        <f>MIN(B215:B264)</f>
        <v>45.92</v>
      </c>
      <c r="F215">
        <f>MAX(B215:B264)</f>
        <v>78.709999999999994</v>
      </c>
      <c r="I215" t="str">
        <f t="shared" si="7"/>
        <v>Negative slope</v>
      </c>
      <c r="J215" t="str">
        <f t="shared" si="8"/>
        <v>Negative slope</v>
      </c>
    </row>
    <row r="216" spans="1:10" x14ac:dyDescent="0.2">
      <c r="A216" s="20">
        <v>41949</v>
      </c>
      <c r="B216">
        <v>77.87</v>
      </c>
      <c r="C216">
        <f>AVERAGE(B216:B235)</f>
        <v>73.768499999999989</v>
      </c>
      <c r="D216">
        <f>AVERAGE(C216:C315)</f>
        <v>52.955900000000021</v>
      </c>
      <c r="E216">
        <f>MIN(B216:B265)</f>
        <v>45.92</v>
      </c>
      <c r="F216">
        <f>MAX(B216:B265)</f>
        <v>78.709999999999994</v>
      </c>
      <c r="I216" t="str">
        <f t="shared" si="7"/>
        <v>Negative slope</v>
      </c>
      <c r="J216" t="str">
        <f t="shared" si="8"/>
        <v>Negative slope</v>
      </c>
    </row>
    <row r="217" spans="1:10" x14ac:dyDescent="0.2">
      <c r="A217" s="20">
        <v>41950</v>
      </c>
      <c r="B217">
        <v>78.709999999999994</v>
      </c>
      <c r="C217">
        <f>AVERAGE(B217:B236)</f>
        <v>73.169499999999999</v>
      </c>
      <c r="D217">
        <f>AVERAGE(C217:C316)</f>
        <v>52.75545000000001</v>
      </c>
      <c r="E217">
        <f>MIN(B217:B266)</f>
        <v>45.92</v>
      </c>
      <c r="F217">
        <f>MAX(B217:B266)</f>
        <v>78.709999999999994</v>
      </c>
      <c r="I217" t="str">
        <f t="shared" si="7"/>
        <v>Negative slope</v>
      </c>
      <c r="J217" t="str">
        <f t="shared" si="8"/>
        <v>Negative slope</v>
      </c>
    </row>
    <row r="218" spans="1:10" x14ac:dyDescent="0.2">
      <c r="A218" s="20">
        <v>41953</v>
      </c>
      <c r="B218">
        <v>77.430000000000007</v>
      </c>
      <c r="C218">
        <f>AVERAGE(B218:B237)</f>
        <v>72.390500000000003</v>
      </c>
      <c r="D218">
        <f>AVERAGE(C218:C317)</f>
        <v>52.565205000000013</v>
      </c>
      <c r="E218">
        <f>MIN(B218:B267)</f>
        <v>45.92</v>
      </c>
      <c r="F218">
        <f>MAX(B218:B267)</f>
        <v>77.849999999999994</v>
      </c>
      <c r="I218" t="str">
        <f t="shared" si="7"/>
        <v>Negative slope</v>
      </c>
      <c r="J218" t="str">
        <f t="shared" si="8"/>
        <v>Negative slope</v>
      </c>
    </row>
    <row r="219" spans="1:10" x14ac:dyDescent="0.2">
      <c r="A219" s="20">
        <v>41954</v>
      </c>
      <c r="B219">
        <v>77.849999999999994</v>
      </c>
      <c r="C219">
        <f>AVERAGE(B219:B238)</f>
        <v>71.706000000000003</v>
      </c>
      <c r="D219">
        <f>AVERAGE(C219:C318)</f>
        <v>52.387995000000011</v>
      </c>
      <c r="E219">
        <f>MIN(B219:B268)</f>
        <v>45.26</v>
      </c>
      <c r="F219">
        <f>MAX(B219:B268)</f>
        <v>77.849999999999994</v>
      </c>
      <c r="I219" t="str">
        <f t="shared" si="7"/>
        <v>Negative slope</v>
      </c>
      <c r="J219" t="str">
        <f t="shared" si="8"/>
        <v>Negative slope</v>
      </c>
    </row>
    <row r="220" spans="1:10" x14ac:dyDescent="0.2">
      <c r="A220" s="20">
        <v>41955</v>
      </c>
      <c r="B220">
        <v>77.16</v>
      </c>
      <c r="C220">
        <f>AVERAGE(B220:B239)</f>
        <v>70.863000000000014</v>
      </c>
      <c r="D220">
        <f>AVERAGE(C220:C319)</f>
        <v>52.222615000000012</v>
      </c>
      <c r="E220">
        <f>MIN(B220:B269)</f>
        <v>44.8</v>
      </c>
      <c r="F220">
        <f>MAX(B220:B269)</f>
        <v>77.16</v>
      </c>
      <c r="I220" t="str">
        <f t="shared" si="7"/>
        <v>Negative slope</v>
      </c>
      <c r="J220" t="str">
        <f t="shared" si="8"/>
        <v>Negative slope</v>
      </c>
    </row>
    <row r="221" spans="1:10" x14ac:dyDescent="0.2">
      <c r="A221" s="20">
        <v>41956</v>
      </c>
      <c r="B221">
        <v>74.13</v>
      </c>
      <c r="C221">
        <f>AVERAGE(B221:B240)</f>
        <v>70.005500000000012</v>
      </c>
      <c r="D221">
        <f>AVERAGE(C221:C320)</f>
        <v>52.069085000000001</v>
      </c>
      <c r="E221">
        <f>MIN(B221:B270)</f>
        <v>44.8</v>
      </c>
      <c r="F221">
        <f>MAX(B221:B270)</f>
        <v>76.52</v>
      </c>
      <c r="I221" t="str">
        <f t="shared" si="7"/>
        <v>Negative slope</v>
      </c>
      <c r="J221" t="str">
        <f t="shared" si="8"/>
        <v>Negative slope</v>
      </c>
    </row>
    <row r="222" spans="1:10" x14ac:dyDescent="0.2">
      <c r="A222" s="20">
        <v>41957</v>
      </c>
      <c r="B222">
        <v>75.91</v>
      </c>
      <c r="C222">
        <f>AVERAGE(B222:B241)</f>
        <v>69.18950000000001</v>
      </c>
      <c r="D222">
        <f>AVERAGE(C222:C321)</f>
        <v>51.927345000000017</v>
      </c>
      <c r="E222">
        <f>MIN(B222:B271)</f>
        <v>44.08</v>
      </c>
      <c r="F222">
        <f>MAX(B222:B271)</f>
        <v>76.52</v>
      </c>
      <c r="I222" t="str">
        <f t="shared" si="7"/>
        <v>Negative slope</v>
      </c>
      <c r="J222" t="str">
        <f t="shared" si="8"/>
        <v>Negative slope</v>
      </c>
    </row>
    <row r="223" spans="1:10" x14ac:dyDescent="0.2">
      <c r="A223" s="20">
        <v>41960</v>
      </c>
      <c r="B223">
        <v>75.64</v>
      </c>
      <c r="C223">
        <f>AVERAGE(B223:B242)</f>
        <v>68.191999999999993</v>
      </c>
      <c r="D223">
        <f>AVERAGE(C223:C322)</f>
        <v>51.79901000000001</v>
      </c>
      <c r="E223">
        <f>MIN(B223:B272)</f>
        <v>44.08</v>
      </c>
      <c r="F223">
        <f>MAX(B223:B272)</f>
        <v>76.52</v>
      </c>
      <c r="I223" t="str">
        <f t="shared" si="7"/>
        <v>Negative slope</v>
      </c>
      <c r="J223" t="str">
        <f t="shared" si="8"/>
        <v>Negative slope</v>
      </c>
    </row>
    <row r="224" spans="1:10" x14ac:dyDescent="0.2">
      <c r="A224" s="20">
        <v>41961</v>
      </c>
      <c r="B224">
        <v>74.55</v>
      </c>
      <c r="C224">
        <f>AVERAGE(B224:B243)</f>
        <v>67.208500000000001</v>
      </c>
      <c r="D224">
        <f>AVERAGE(C224:C323)</f>
        <v>51.684750000000015</v>
      </c>
      <c r="E224">
        <f>MIN(B224:B273)</f>
        <v>44.08</v>
      </c>
      <c r="F224">
        <f>MAX(B224:B273)</f>
        <v>76.52</v>
      </c>
      <c r="I224" t="str">
        <f t="shared" si="7"/>
        <v>Negative slope</v>
      </c>
      <c r="J224" t="str">
        <f t="shared" si="8"/>
        <v>Negative slope</v>
      </c>
    </row>
    <row r="225" spans="1:10" x14ac:dyDescent="0.2">
      <c r="A225" s="20">
        <v>41962</v>
      </c>
      <c r="B225">
        <v>74.55</v>
      </c>
      <c r="C225">
        <f>AVERAGE(B225:B244)</f>
        <v>66.302499999999995</v>
      </c>
      <c r="D225">
        <f>AVERAGE(C225:C324)</f>
        <v>51.584215</v>
      </c>
      <c r="E225">
        <f>MIN(B225:B274)</f>
        <v>44.08</v>
      </c>
      <c r="F225">
        <f>MAX(B225:B274)</f>
        <v>76.52</v>
      </c>
      <c r="I225" t="str">
        <f t="shared" si="7"/>
        <v>Negative slope</v>
      </c>
      <c r="J225" t="str">
        <f t="shared" si="8"/>
        <v>Negative slope</v>
      </c>
    </row>
    <row r="226" spans="1:10" x14ac:dyDescent="0.2">
      <c r="A226" s="20">
        <v>41963</v>
      </c>
      <c r="B226">
        <v>75.63</v>
      </c>
      <c r="C226">
        <f>AVERAGE(B226:B245)</f>
        <v>65.284000000000006</v>
      </c>
      <c r="D226">
        <f>AVERAGE(C226:C325)</f>
        <v>51.496380000000009</v>
      </c>
      <c r="E226">
        <f>MIN(B226:B275)</f>
        <v>44.08</v>
      </c>
      <c r="F226">
        <f>MAX(B226:B275)</f>
        <v>76.52</v>
      </c>
      <c r="I226" t="str">
        <f t="shared" si="7"/>
        <v>Negative slope</v>
      </c>
      <c r="J226" t="str">
        <f t="shared" si="8"/>
        <v>Negative slope</v>
      </c>
    </row>
    <row r="227" spans="1:10" x14ac:dyDescent="0.2">
      <c r="A227" s="20">
        <v>41964</v>
      </c>
      <c r="B227">
        <v>76.52</v>
      </c>
      <c r="C227">
        <f>AVERAGE(B227:B246)</f>
        <v>64.348000000000013</v>
      </c>
      <c r="D227">
        <f>AVERAGE(C227:C326)</f>
        <v>51.422440000000016</v>
      </c>
      <c r="E227">
        <f>MIN(B227:B276)</f>
        <v>44.08</v>
      </c>
      <c r="F227">
        <f>MAX(B227:B276)</f>
        <v>76.52</v>
      </c>
      <c r="I227" t="str">
        <f t="shared" si="7"/>
        <v>Negative slope</v>
      </c>
      <c r="J227" t="str">
        <f t="shared" si="8"/>
        <v>Negative slope</v>
      </c>
    </row>
    <row r="228" spans="1:10" x14ac:dyDescent="0.2">
      <c r="A228" s="20">
        <v>41967</v>
      </c>
      <c r="B228">
        <v>75.739999999999995</v>
      </c>
      <c r="C228">
        <f>AVERAGE(B228:B247)</f>
        <v>63.284500000000016</v>
      </c>
      <c r="D228">
        <f>AVERAGE(C228:C327)</f>
        <v>51.359985000000016</v>
      </c>
      <c r="E228">
        <f>MIN(B228:B277)</f>
        <v>44.08</v>
      </c>
      <c r="F228">
        <f>MAX(B228:B277)</f>
        <v>75.739999999999995</v>
      </c>
      <c r="I228" t="str">
        <f t="shared" si="7"/>
        <v>Negative slope</v>
      </c>
      <c r="J228" t="str">
        <f t="shared" si="8"/>
        <v>Negative slope</v>
      </c>
    </row>
    <row r="229" spans="1:10" x14ac:dyDescent="0.2">
      <c r="A229" s="20">
        <v>41968</v>
      </c>
      <c r="B229">
        <v>74.040000000000006</v>
      </c>
      <c r="C229">
        <f>AVERAGE(B229:B248)</f>
        <v>62.336500000000001</v>
      </c>
      <c r="D229">
        <f>AVERAGE(C229:C328)</f>
        <v>51.309765000000006</v>
      </c>
      <c r="E229">
        <f>MIN(B229:B278)</f>
        <v>44.08</v>
      </c>
      <c r="F229">
        <f>MAX(B229:B278)</f>
        <v>74.040000000000006</v>
      </c>
      <c r="I229" t="str">
        <f t="shared" si="7"/>
        <v>Negative slope</v>
      </c>
      <c r="J229" t="str">
        <f t="shared" si="8"/>
        <v>Negative slope</v>
      </c>
    </row>
    <row r="230" spans="1:10" x14ac:dyDescent="0.2">
      <c r="A230" s="20">
        <v>41969</v>
      </c>
      <c r="B230">
        <v>73.7</v>
      </c>
      <c r="C230">
        <f>AVERAGE(B230:B249)</f>
        <v>61.419500000000006</v>
      </c>
      <c r="D230">
        <f>AVERAGE(C230:C329)</f>
        <v>51.271035000000005</v>
      </c>
      <c r="E230">
        <f>MIN(B230:B279)</f>
        <v>44.08</v>
      </c>
      <c r="F230">
        <f>MAX(B230:B279)</f>
        <v>73.7</v>
      </c>
      <c r="I230" t="str">
        <f t="shared" si="7"/>
        <v>Negative slope</v>
      </c>
      <c r="J230" t="str">
        <f t="shared" si="8"/>
        <v>Negative slope</v>
      </c>
    </row>
    <row r="231" spans="1:10" x14ac:dyDescent="0.2">
      <c r="A231" s="20">
        <v>41971</v>
      </c>
      <c r="B231">
        <v>65.94</v>
      </c>
      <c r="C231">
        <f>AVERAGE(B231:B250)</f>
        <v>60.463999999999999</v>
      </c>
      <c r="D231">
        <f>AVERAGE(C231:C330)</f>
        <v>51.243010000000005</v>
      </c>
      <c r="E231">
        <f>MIN(B231:B280)</f>
        <v>44.08</v>
      </c>
      <c r="F231">
        <f>MAX(B231:B280)</f>
        <v>68.98</v>
      </c>
      <c r="I231" t="str">
        <f t="shared" si="7"/>
        <v>Negative slope</v>
      </c>
      <c r="J231" t="str">
        <f t="shared" si="8"/>
        <v>Negative slope</v>
      </c>
    </row>
    <row r="232" spans="1:10" x14ac:dyDescent="0.2">
      <c r="A232" s="20">
        <v>41974</v>
      </c>
      <c r="B232">
        <v>68.98</v>
      </c>
      <c r="C232">
        <f>AVERAGE(B232:B251)</f>
        <v>59.839999999999996</v>
      </c>
      <c r="D232">
        <f>AVERAGE(C232:C331)</f>
        <v>51.225400000000008</v>
      </c>
      <c r="E232">
        <f>MIN(B232:B281)</f>
        <v>44.08</v>
      </c>
      <c r="F232">
        <f>MAX(B232:B281)</f>
        <v>68.98</v>
      </c>
      <c r="I232" t="str">
        <f t="shared" si="7"/>
        <v>Negative slope</v>
      </c>
      <c r="J232" t="str">
        <f t="shared" si="8"/>
        <v>Negative slope</v>
      </c>
    </row>
    <row r="233" spans="1:10" x14ac:dyDescent="0.2">
      <c r="A233" s="20">
        <v>41975</v>
      </c>
      <c r="B233">
        <v>66.989999999999995</v>
      </c>
      <c r="C233">
        <f>AVERAGE(B233:B252)</f>
        <v>59.097999999999999</v>
      </c>
      <c r="D233">
        <f>AVERAGE(C233:C332)</f>
        <v>51.215425000000003</v>
      </c>
      <c r="E233">
        <f>MIN(B233:B282)</f>
        <v>44.08</v>
      </c>
      <c r="F233">
        <f>MAX(B233:B282)</f>
        <v>67.3</v>
      </c>
      <c r="I233" t="str">
        <f t="shared" si="7"/>
        <v>Negative slope</v>
      </c>
      <c r="J233" t="str">
        <f t="shared" si="8"/>
        <v>Negative slope</v>
      </c>
    </row>
    <row r="234" spans="1:10" x14ac:dyDescent="0.2">
      <c r="A234" s="20">
        <v>41976</v>
      </c>
      <c r="B234">
        <v>67.3</v>
      </c>
      <c r="C234">
        <f>AVERAGE(B234:B253)</f>
        <v>58.421000000000006</v>
      </c>
      <c r="D234">
        <f>AVERAGE(C234:C333)</f>
        <v>51.214665000000004</v>
      </c>
      <c r="E234">
        <f>MIN(B234:B283)</f>
        <v>44.08</v>
      </c>
      <c r="F234">
        <f>MAX(B234:B283)</f>
        <v>67.3</v>
      </c>
      <c r="I234" t="str">
        <f t="shared" si="7"/>
        <v>Negative slope</v>
      </c>
      <c r="J234" t="str">
        <f t="shared" si="8"/>
        <v>Positive slope</v>
      </c>
    </row>
    <row r="235" spans="1:10" x14ac:dyDescent="0.2">
      <c r="A235" s="20">
        <v>41977</v>
      </c>
      <c r="B235">
        <v>66.73</v>
      </c>
      <c r="C235">
        <f>AVERAGE(B235:B254)</f>
        <v>57.692000000000007</v>
      </c>
      <c r="D235">
        <f>AVERAGE(C235:C334)</f>
        <v>51.222125000000005</v>
      </c>
      <c r="E235">
        <f>MIN(B235:B284)</f>
        <v>44.08</v>
      </c>
      <c r="F235">
        <f>MAX(B235:B284)</f>
        <v>66.73</v>
      </c>
      <c r="I235" t="str">
        <f t="shared" si="7"/>
        <v>Negative slope</v>
      </c>
      <c r="J235" t="str">
        <f t="shared" si="8"/>
        <v>Positive slope</v>
      </c>
    </row>
    <row r="236" spans="1:10" x14ac:dyDescent="0.2">
      <c r="A236" s="20">
        <v>41978</v>
      </c>
      <c r="B236">
        <v>65.89</v>
      </c>
      <c r="C236">
        <f>AVERAGE(B236:B255)</f>
        <v>56.85799999999999</v>
      </c>
      <c r="D236">
        <f>AVERAGE(C236:C335)</f>
        <v>51.238534999999999</v>
      </c>
      <c r="E236">
        <f>MIN(B236:B285)</f>
        <v>44.08</v>
      </c>
      <c r="F236">
        <f>MAX(B236:B285)</f>
        <v>65.89</v>
      </c>
      <c r="I236" t="str">
        <f t="shared" si="7"/>
        <v>Negative slope</v>
      </c>
      <c r="J236" t="str">
        <f t="shared" si="8"/>
        <v>Positive slope</v>
      </c>
    </row>
    <row r="237" spans="1:10" x14ac:dyDescent="0.2">
      <c r="A237" s="20">
        <v>41981</v>
      </c>
      <c r="B237">
        <v>63.13</v>
      </c>
      <c r="C237">
        <f>AVERAGE(B237:B256)</f>
        <v>55.962500000000013</v>
      </c>
      <c r="D237">
        <f>AVERAGE(C237:C336)</f>
        <v>51.263405000000006</v>
      </c>
      <c r="E237">
        <f>MIN(B237:B286)</f>
        <v>44.08</v>
      </c>
      <c r="F237">
        <f>MAX(B237:B286)</f>
        <v>63.74</v>
      </c>
      <c r="I237" t="str">
        <f t="shared" si="7"/>
        <v>Negative slope</v>
      </c>
      <c r="J237" t="str">
        <f t="shared" si="8"/>
        <v>Positive slope</v>
      </c>
    </row>
    <row r="238" spans="1:10" x14ac:dyDescent="0.2">
      <c r="A238" s="20">
        <v>41982</v>
      </c>
      <c r="B238">
        <v>63.74</v>
      </c>
      <c r="C238">
        <f>AVERAGE(B238:B257)</f>
        <v>55.240500000000011</v>
      </c>
      <c r="D238">
        <f>AVERAGE(C238:C337)</f>
        <v>51.296710000000004</v>
      </c>
      <c r="E238">
        <f>MIN(B238:B287)</f>
        <v>44.08</v>
      </c>
      <c r="F238">
        <f>MAX(B238:B287)</f>
        <v>63.74</v>
      </c>
      <c r="I238" t="str">
        <f t="shared" si="7"/>
        <v>Negative slope</v>
      </c>
      <c r="J238" t="str">
        <f t="shared" si="8"/>
        <v>Positive slope</v>
      </c>
    </row>
    <row r="239" spans="1:10" x14ac:dyDescent="0.2">
      <c r="A239" s="20">
        <v>41983</v>
      </c>
      <c r="B239">
        <v>60.99</v>
      </c>
      <c r="C239">
        <f>AVERAGE(B239:B258)</f>
        <v>54.493500000000004</v>
      </c>
      <c r="D239">
        <f>AVERAGE(C239:C338)</f>
        <v>51.336270000000006</v>
      </c>
      <c r="E239">
        <f>MIN(B239:B288)</f>
        <v>44.08</v>
      </c>
      <c r="F239">
        <f>MAX(B239:B288)</f>
        <v>60.99</v>
      </c>
      <c r="I239" t="str">
        <f t="shared" si="7"/>
        <v>Negative slope</v>
      </c>
      <c r="J239" t="str">
        <f t="shared" si="8"/>
        <v>Positive slope</v>
      </c>
    </row>
    <row r="240" spans="1:10" x14ac:dyDescent="0.2">
      <c r="A240" s="20">
        <v>41984</v>
      </c>
      <c r="B240">
        <v>60.01</v>
      </c>
      <c r="C240">
        <f>AVERAGE(B240:B259)</f>
        <v>53.861499999999999</v>
      </c>
      <c r="D240">
        <f>AVERAGE(C240:C339)</f>
        <v>51.38387500000001</v>
      </c>
      <c r="E240">
        <f>MIN(B240:B289)</f>
        <v>44.08</v>
      </c>
      <c r="F240">
        <f>MAX(B240:B289)</f>
        <v>60.01</v>
      </c>
      <c r="I240" t="str">
        <f t="shared" si="7"/>
        <v>Negative slope</v>
      </c>
      <c r="J240" t="str">
        <f t="shared" si="8"/>
        <v>Positive slope</v>
      </c>
    </row>
    <row r="241" spans="1:10" x14ac:dyDescent="0.2">
      <c r="A241" s="20">
        <v>41985</v>
      </c>
      <c r="B241">
        <v>57.81</v>
      </c>
      <c r="C241">
        <f>AVERAGE(B241:B260)</f>
        <v>53.164000000000001</v>
      </c>
      <c r="D241">
        <f>AVERAGE(C241:C340)</f>
        <v>51.438460000000006</v>
      </c>
      <c r="E241">
        <f>MIN(B241:B290)</f>
        <v>44.08</v>
      </c>
      <c r="F241">
        <f>MAX(B241:B290)</f>
        <v>57.81</v>
      </c>
      <c r="I241" t="str">
        <f t="shared" si="7"/>
        <v>Negative slope</v>
      </c>
      <c r="J241" t="str">
        <f t="shared" si="8"/>
        <v>Positive slope</v>
      </c>
    </row>
    <row r="242" spans="1:10" x14ac:dyDescent="0.2">
      <c r="A242" s="20">
        <v>41988</v>
      </c>
      <c r="B242">
        <v>55.96</v>
      </c>
      <c r="C242">
        <f>AVERAGE(B242:B261)</f>
        <v>52.569500000000005</v>
      </c>
      <c r="D242">
        <f>AVERAGE(C242:C341)</f>
        <v>51.50048000000001</v>
      </c>
      <c r="E242">
        <f>MIN(B242:B291)</f>
        <v>44.08</v>
      </c>
      <c r="F242">
        <f>MAX(B242:B291)</f>
        <v>56.91</v>
      </c>
      <c r="I242" t="str">
        <f t="shared" si="7"/>
        <v>Negative slope</v>
      </c>
      <c r="J242" t="str">
        <f t="shared" si="8"/>
        <v>Positive slope</v>
      </c>
    </row>
    <row r="243" spans="1:10" x14ac:dyDescent="0.2">
      <c r="A243" s="20">
        <v>41989</v>
      </c>
      <c r="B243">
        <v>55.97</v>
      </c>
      <c r="C243">
        <f>AVERAGE(B243:B262)</f>
        <v>52.195999999999991</v>
      </c>
      <c r="D243">
        <f>AVERAGE(C243:C342)</f>
        <v>51.56781500000001</v>
      </c>
      <c r="E243">
        <f>MIN(B243:B292)</f>
        <v>44.08</v>
      </c>
      <c r="F243">
        <f>MAX(B243:B292)</f>
        <v>56.91</v>
      </c>
      <c r="I243" t="str">
        <f t="shared" si="7"/>
        <v>Negative slope</v>
      </c>
      <c r="J243" t="str">
        <f t="shared" si="8"/>
        <v>Positive slope</v>
      </c>
    </row>
    <row r="244" spans="1:10" x14ac:dyDescent="0.2">
      <c r="A244" s="20">
        <v>41990</v>
      </c>
      <c r="B244">
        <v>56.43</v>
      </c>
      <c r="C244">
        <f>AVERAGE(B244:B263)</f>
        <v>51.715999999999994</v>
      </c>
      <c r="D244">
        <f>AVERAGE(C244:C343)</f>
        <v>51.638390000000008</v>
      </c>
      <c r="E244">
        <f>MIN(B244:B293)</f>
        <v>44.08</v>
      </c>
      <c r="F244">
        <f>MAX(B244:B293)</f>
        <v>56.91</v>
      </c>
      <c r="I244" t="str">
        <f t="shared" si="7"/>
        <v>Negative slope</v>
      </c>
      <c r="J244" t="str">
        <f t="shared" si="8"/>
        <v>Positive slope</v>
      </c>
    </row>
    <row r="245" spans="1:10" x14ac:dyDescent="0.2">
      <c r="A245" s="20">
        <v>41991</v>
      </c>
      <c r="B245">
        <v>54.18</v>
      </c>
      <c r="C245">
        <f>AVERAGE(B245:B264)</f>
        <v>51.318999999999996</v>
      </c>
      <c r="D245">
        <f>AVERAGE(C245:C344)</f>
        <v>51.713614999999997</v>
      </c>
      <c r="E245">
        <f>MIN(B245:B294)</f>
        <v>44.08</v>
      </c>
      <c r="F245">
        <f>MAX(B245:B294)</f>
        <v>56.91</v>
      </c>
      <c r="I245" t="str">
        <f t="shared" si="7"/>
        <v>Negative slope</v>
      </c>
      <c r="J245" t="str">
        <f t="shared" si="8"/>
        <v>Positive slope</v>
      </c>
    </row>
    <row r="246" spans="1:10" x14ac:dyDescent="0.2">
      <c r="A246" s="20">
        <v>41992</v>
      </c>
      <c r="B246">
        <v>56.91</v>
      </c>
      <c r="C246">
        <f>AVERAGE(B246:B265)</f>
        <v>50.9495</v>
      </c>
      <c r="D246">
        <f>AVERAGE(C246:C345)</f>
        <v>51.792270000000009</v>
      </c>
      <c r="E246">
        <f>MIN(B246:B295)</f>
        <v>44.08</v>
      </c>
      <c r="F246">
        <f>MAX(B246:B295)</f>
        <v>56.91</v>
      </c>
      <c r="I246" t="str">
        <f t="shared" si="7"/>
        <v>Negative slope</v>
      </c>
      <c r="J246" t="str">
        <f t="shared" si="8"/>
        <v>Positive slope</v>
      </c>
    </row>
    <row r="247" spans="1:10" x14ac:dyDescent="0.2">
      <c r="A247" s="20">
        <v>41995</v>
      </c>
      <c r="B247">
        <v>55.25</v>
      </c>
      <c r="C247">
        <f>AVERAGE(B247:B266)</f>
        <v>50.496499999999997</v>
      </c>
      <c r="D247">
        <f>AVERAGE(C247:C346)</f>
        <v>51.874335000000002</v>
      </c>
      <c r="E247">
        <f>MIN(B247:B296)</f>
        <v>44.08</v>
      </c>
      <c r="F247">
        <f>MAX(B247:B296)</f>
        <v>56.78</v>
      </c>
      <c r="I247" t="str">
        <f t="shared" si="7"/>
        <v>Negative slope</v>
      </c>
      <c r="J247" t="str">
        <f t="shared" si="8"/>
        <v>Positive slope</v>
      </c>
    </row>
    <row r="248" spans="1:10" x14ac:dyDescent="0.2">
      <c r="A248" s="20">
        <v>41996</v>
      </c>
      <c r="B248">
        <v>56.78</v>
      </c>
      <c r="C248">
        <f>AVERAGE(B248:B267)</f>
        <v>50.030499999999996</v>
      </c>
      <c r="D248">
        <f>AVERAGE(C248:C347)</f>
        <v>51.961359999999992</v>
      </c>
      <c r="E248">
        <f>MIN(B248:B297)</f>
        <v>44.08</v>
      </c>
      <c r="F248">
        <f>MAX(B248:B297)</f>
        <v>56.78</v>
      </c>
      <c r="I248" t="str">
        <f t="shared" si="7"/>
        <v>Negative slope</v>
      </c>
      <c r="J248" t="str">
        <f t="shared" si="8"/>
        <v>Positive slope</v>
      </c>
    </row>
    <row r="249" spans="1:10" x14ac:dyDescent="0.2">
      <c r="A249" s="20">
        <v>41997</v>
      </c>
      <c r="B249">
        <v>55.7</v>
      </c>
      <c r="C249">
        <f>AVERAGE(B249:B268)</f>
        <v>49.454499999999996</v>
      </c>
      <c r="D249">
        <f>AVERAGE(C249:C348)</f>
        <v>52.053469999999997</v>
      </c>
      <c r="E249">
        <f>MIN(B249:B298)</f>
        <v>44.08</v>
      </c>
      <c r="F249">
        <f>MAX(B249:B298)</f>
        <v>55.7</v>
      </c>
      <c r="I249" t="str">
        <f t="shared" si="7"/>
        <v>Negative slope</v>
      </c>
      <c r="J249" t="str">
        <f t="shared" si="8"/>
        <v>Positive slope</v>
      </c>
    </row>
    <row r="250" spans="1:10" x14ac:dyDescent="0.2">
      <c r="A250" s="20">
        <v>41999</v>
      </c>
      <c r="B250">
        <v>54.59</v>
      </c>
      <c r="C250">
        <f>AVERAGE(B250:B269)</f>
        <v>48.909499999999994</v>
      </c>
      <c r="D250">
        <f>AVERAGE(C250:C349)</f>
        <v>52.151454999999999</v>
      </c>
      <c r="E250">
        <f>MIN(B250:B299)</f>
        <v>44.08</v>
      </c>
      <c r="F250">
        <f>MAX(B250:B299)</f>
        <v>54.59</v>
      </c>
      <c r="I250" t="str">
        <f t="shared" si="7"/>
        <v>Negative slope</v>
      </c>
      <c r="J250" t="str">
        <f t="shared" si="8"/>
        <v>Positive slope</v>
      </c>
    </row>
    <row r="251" spans="1:10" x14ac:dyDescent="0.2">
      <c r="A251" s="20">
        <v>42002</v>
      </c>
      <c r="B251">
        <v>53.46</v>
      </c>
      <c r="C251">
        <f>AVERAGE(B251:B270)</f>
        <v>48.471999999999994</v>
      </c>
      <c r="D251">
        <f>AVERAGE(C251:C350)</f>
        <v>52.254934999999996</v>
      </c>
      <c r="E251">
        <f>MIN(B251:B300)</f>
        <v>44.08</v>
      </c>
      <c r="F251">
        <f>MAX(B251:B300)</f>
        <v>54.14</v>
      </c>
      <c r="I251" t="str">
        <f t="shared" si="7"/>
        <v>Negative slope</v>
      </c>
      <c r="J251" t="str">
        <f t="shared" si="8"/>
        <v>Positive slope</v>
      </c>
    </row>
    <row r="252" spans="1:10" x14ac:dyDescent="0.2">
      <c r="A252" s="20">
        <v>42003</v>
      </c>
      <c r="B252">
        <v>54.14</v>
      </c>
      <c r="C252">
        <f>AVERAGE(B252:B271)</f>
        <v>48.003</v>
      </c>
      <c r="D252">
        <f>AVERAGE(C252:C351)</f>
        <v>52.364144999999986</v>
      </c>
      <c r="E252">
        <f>MIN(B252:B301)</f>
        <v>44.08</v>
      </c>
      <c r="F252">
        <f>MAX(B252:B301)</f>
        <v>54.14</v>
      </c>
      <c r="I252" t="str">
        <f t="shared" si="7"/>
        <v>Negative slope</v>
      </c>
      <c r="J252" t="str">
        <f t="shared" si="8"/>
        <v>Positive slope</v>
      </c>
    </row>
    <row r="253" spans="1:10" x14ac:dyDescent="0.2">
      <c r="A253" s="20">
        <v>42004</v>
      </c>
      <c r="B253">
        <v>53.45</v>
      </c>
      <c r="C253">
        <f>AVERAGE(B253:B272)</f>
        <v>47.501999999999995</v>
      </c>
      <c r="D253">
        <f>AVERAGE(C253:C352)</f>
        <v>52.47851</v>
      </c>
      <c r="E253">
        <f>MIN(B253:B302)</f>
        <v>44.08</v>
      </c>
      <c r="F253">
        <f>MAX(B253:B302)</f>
        <v>53.56</v>
      </c>
      <c r="I253" t="str">
        <f t="shared" si="7"/>
        <v>Negative slope</v>
      </c>
      <c r="J253" t="str">
        <f t="shared" si="8"/>
        <v>Positive slope</v>
      </c>
    </row>
    <row r="254" spans="1:10" x14ac:dyDescent="0.2">
      <c r="A254" s="20">
        <v>42006</v>
      </c>
      <c r="B254">
        <v>52.72</v>
      </c>
      <c r="C254">
        <f>AVERAGE(B254:B273)</f>
        <v>47.219000000000001</v>
      </c>
      <c r="D254">
        <f>AVERAGE(C254:C353)</f>
        <v>52.597999999999999</v>
      </c>
      <c r="E254">
        <f>MIN(B254:B303)</f>
        <v>44.08</v>
      </c>
      <c r="F254">
        <f>MAX(B254:B303)</f>
        <v>53.56</v>
      </c>
      <c r="I254" t="str">
        <f t="shared" si="7"/>
        <v>Negative slope</v>
      </c>
      <c r="J254" t="str">
        <f t="shared" si="8"/>
        <v>Positive slope</v>
      </c>
    </row>
    <row r="255" spans="1:10" x14ac:dyDescent="0.2">
      <c r="A255" s="20">
        <v>42009</v>
      </c>
      <c r="B255">
        <v>50.05</v>
      </c>
      <c r="C255">
        <f>AVERAGE(B255:B274)</f>
        <v>47.045499999999997</v>
      </c>
      <c r="D255">
        <f>AVERAGE(C255:C354)</f>
        <v>52.720690000000005</v>
      </c>
      <c r="E255">
        <f>MIN(B255:B304)</f>
        <v>43.93</v>
      </c>
      <c r="F255">
        <f>MAX(B255:B304)</f>
        <v>53.56</v>
      </c>
      <c r="I255" t="str">
        <f t="shared" si="7"/>
        <v>Positive slope</v>
      </c>
      <c r="J255" t="str">
        <f t="shared" si="8"/>
        <v>Positive slope</v>
      </c>
    </row>
    <row r="256" spans="1:10" x14ac:dyDescent="0.2">
      <c r="A256" s="20">
        <v>42010</v>
      </c>
      <c r="B256">
        <v>47.98</v>
      </c>
      <c r="C256">
        <f>AVERAGE(B256:B275)</f>
        <v>47.194999999999993</v>
      </c>
      <c r="D256">
        <f>AVERAGE(C256:C355)</f>
        <v>52.845680000000002</v>
      </c>
      <c r="E256">
        <f>MIN(B256:B305)</f>
        <v>43.39</v>
      </c>
      <c r="F256">
        <f>MAX(B256:B305)</f>
        <v>53.56</v>
      </c>
      <c r="I256" t="str">
        <f t="shared" si="7"/>
        <v>Positive slope</v>
      </c>
      <c r="J256" t="str">
        <f t="shared" si="8"/>
        <v>Positive slope</v>
      </c>
    </row>
    <row r="257" spans="1:10" x14ac:dyDescent="0.2">
      <c r="A257" s="20">
        <v>42011</v>
      </c>
      <c r="B257">
        <v>48.69</v>
      </c>
      <c r="C257">
        <f>AVERAGE(B257:B276)</f>
        <v>47.218499999999999</v>
      </c>
      <c r="D257">
        <f>AVERAGE(C257:C356)</f>
        <v>52.971055000000007</v>
      </c>
      <c r="E257">
        <f>MIN(B257:B306)</f>
        <v>43.39</v>
      </c>
      <c r="F257">
        <f>MAX(B257:B306)</f>
        <v>53.56</v>
      </c>
      <c r="I257" t="str">
        <f t="shared" si="7"/>
        <v>Positive slope</v>
      </c>
      <c r="J257" t="str">
        <f t="shared" si="8"/>
        <v>Positive slope</v>
      </c>
    </row>
    <row r="258" spans="1:10" x14ac:dyDescent="0.2">
      <c r="A258" s="20">
        <v>42012</v>
      </c>
      <c r="B258">
        <v>48.8</v>
      </c>
      <c r="C258">
        <f>AVERAGE(B258:B277)</f>
        <v>47.308000000000007</v>
      </c>
      <c r="D258">
        <f>AVERAGE(C258:C357)</f>
        <v>53.097445000000008</v>
      </c>
      <c r="E258">
        <f>MIN(B258:B307)</f>
        <v>43.39</v>
      </c>
      <c r="F258">
        <f>MAX(B258:B307)</f>
        <v>53.56</v>
      </c>
      <c r="I258" t="str">
        <f t="shared" si="7"/>
        <v>Positive slope</v>
      </c>
      <c r="J258" t="str">
        <f t="shared" si="8"/>
        <v>Positive slope</v>
      </c>
    </row>
    <row r="259" spans="1:10" x14ac:dyDescent="0.2">
      <c r="A259" s="20">
        <v>42013</v>
      </c>
      <c r="B259">
        <v>48.35</v>
      </c>
      <c r="C259">
        <f>AVERAGE(B259:B278)</f>
        <v>47.451000000000008</v>
      </c>
      <c r="D259">
        <f>AVERAGE(C259:C358)</f>
        <v>53.223890000000011</v>
      </c>
      <c r="E259">
        <f>MIN(B259:B308)</f>
        <v>43.39</v>
      </c>
      <c r="F259">
        <f>MAX(B259:B308)</f>
        <v>53.56</v>
      </c>
      <c r="I259" t="str">
        <f t="shared" ref="I259:I322" si="9">IF((C260-C259)&gt;0, "Positive slope", "Negative slope")</f>
        <v>Positive slope</v>
      </c>
      <c r="J259" t="str">
        <f t="shared" ref="J259:J322" si="10">IF((D260-D259)&gt;0, "Positive slope", "Negative slope")</f>
        <v>Positive slope</v>
      </c>
    </row>
    <row r="260" spans="1:10" x14ac:dyDescent="0.2">
      <c r="A260" s="20">
        <v>42016</v>
      </c>
      <c r="B260">
        <v>46.06</v>
      </c>
      <c r="C260">
        <f>AVERAGE(B260:B279)</f>
        <v>47.683000000000007</v>
      </c>
      <c r="D260">
        <f>AVERAGE(C260:C359)</f>
        <v>53.348485000000011</v>
      </c>
      <c r="E260">
        <f>MIN(B260:B309)</f>
        <v>43.39</v>
      </c>
      <c r="F260">
        <f>MAX(B260:B309)</f>
        <v>53.56</v>
      </c>
      <c r="I260" t="str">
        <f t="shared" si="9"/>
        <v>Positive slope</v>
      </c>
      <c r="J260" t="str">
        <f t="shared" si="10"/>
        <v>Positive slope</v>
      </c>
    </row>
    <row r="261" spans="1:10" x14ac:dyDescent="0.2">
      <c r="A261" s="20">
        <v>42017</v>
      </c>
      <c r="B261">
        <v>45.92</v>
      </c>
      <c r="C261">
        <f>AVERAGE(B261:B280)</f>
        <v>47.882999999999996</v>
      </c>
      <c r="D261">
        <f>AVERAGE(C261:C360)</f>
        <v>53.469809999999995</v>
      </c>
      <c r="E261">
        <f>MIN(B261:B310)</f>
        <v>43.39</v>
      </c>
      <c r="F261">
        <f>MAX(B261:B310)</f>
        <v>53.56</v>
      </c>
      <c r="I261" t="str">
        <f t="shared" si="9"/>
        <v>Positive slope</v>
      </c>
      <c r="J261" t="str">
        <f t="shared" si="10"/>
        <v>Positive slope</v>
      </c>
    </row>
    <row r="262" spans="1:10" x14ac:dyDescent="0.2">
      <c r="A262" s="20">
        <v>42018</v>
      </c>
      <c r="B262">
        <v>48.49</v>
      </c>
      <c r="C262">
        <f>AVERAGE(B262:B281)</f>
        <v>48.027000000000001</v>
      </c>
      <c r="D262">
        <f>AVERAGE(C262:C361)</f>
        <v>53.588225000000001</v>
      </c>
      <c r="E262">
        <f>MIN(B262:B311)</f>
        <v>43.39</v>
      </c>
      <c r="F262">
        <f>MAX(B262:B311)</f>
        <v>53.56</v>
      </c>
      <c r="I262" t="str">
        <f t="shared" si="9"/>
        <v>Positive slope</v>
      </c>
      <c r="J262" t="str">
        <f t="shared" si="10"/>
        <v>Positive slope</v>
      </c>
    </row>
    <row r="263" spans="1:10" x14ac:dyDescent="0.2">
      <c r="A263" s="20">
        <v>42019</v>
      </c>
      <c r="B263">
        <v>46.37</v>
      </c>
      <c r="C263">
        <f>AVERAGE(B263:B282)</f>
        <v>48.160999999999994</v>
      </c>
      <c r="D263">
        <f>AVERAGE(C263:C362)</f>
        <v>53.703834999999998</v>
      </c>
      <c r="E263">
        <f>MIN(B263:B312)</f>
        <v>43.39</v>
      </c>
      <c r="F263">
        <f>MAX(B263:B312)</f>
        <v>53.56</v>
      </c>
      <c r="I263" t="str">
        <f t="shared" si="9"/>
        <v>Positive slope</v>
      </c>
      <c r="J263" t="str">
        <f t="shared" si="10"/>
        <v>Positive slope</v>
      </c>
    </row>
    <row r="264" spans="1:10" x14ac:dyDescent="0.2">
      <c r="A264" s="20">
        <v>42020</v>
      </c>
      <c r="B264">
        <v>48.49</v>
      </c>
      <c r="C264">
        <f>AVERAGE(B264:B283)</f>
        <v>48.475499999999997</v>
      </c>
      <c r="D264">
        <f>AVERAGE(C264:C363)</f>
        <v>53.817570000000003</v>
      </c>
      <c r="E264">
        <f>MIN(B264:B313)</f>
        <v>43.39</v>
      </c>
      <c r="F264">
        <f>MAX(B264:B313)</f>
        <v>53.56</v>
      </c>
      <c r="I264" t="str">
        <f t="shared" si="9"/>
        <v>Positive slope</v>
      </c>
      <c r="J264" t="str">
        <f t="shared" si="10"/>
        <v>Positive slope</v>
      </c>
    </row>
    <row r="265" spans="1:10" x14ac:dyDescent="0.2">
      <c r="A265" s="20">
        <v>42024</v>
      </c>
      <c r="B265">
        <v>46.79</v>
      </c>
      <c r="C265">
        <f>AVERAGE(B265:B284)</f>
        <v>48.683999999999997</v>
      </c>
      <c r="D265">
        <f>AVERAGE(C265:C364)</f>
        <v>53.927070000000001</v>
      </c>
      <c r="E265">
        <f>MIN(B265:B314)</f>
        <v>43.39</v>
      </c>
      <c r="F265">
        <f>MAX(B265:B314)</f>
        <v>53.56</v>
      </c>
      <c r="I265" t="str">
        <f t="shared" si="9"/>
        <v>Positive slope</v>
      </c>
      <c r="J265" t="str">
        <f t="shared" si="10"/>
        <v>Positive slope</v>
      </c>
    </row>
    <row r="266" spans="1:10" x14ac:dyDescent="0.2">
      <c r="A266" s="20">
        <v>42025</v>
      </c>
      <c r="B266">
        <v>47.85</v>
      </c>
      <c r="C266">
        <f>AVERAGE(B266:B285)</f>
        <v>49.022500000000001</v>
      </c>
      <c r="D266">
        <f>AVERAGE(C266:C365)</f>
        <v>54.031649999999999</v>
      </c>
      <c r="E266">
        <f>MIN(B266:B315)</f>
        <v>43.39</v>
      </c>
      <c r="F266">
        <f>MAX(B266:B315)</f>
        <v>53.56</v>
      </c>
      <c r="I266" t="str">
        <f t="shared" si="9"/>
        <v>Positive slope</v>
      </c>
      <c r="J266" t="str">
        <f t="shared" si="10"/>
        <v>Positive slope</v>
      </c>
    </row>
    <row r="267" spans="1:10" x14ac:dyDescent="0.2">
      <c r="A267" s="20">
        <v>42026</v>
      </c>
      <c r="B267">
        <v>45.93</v>
      </c>
      <c r="C267">
        <f>AVERAGE(B267:B286)</f>
        <v>49.236499999999992</v>
      </c>
      <c r="D267">
        <f>AVERAGE(C267:C366)</f>
        <v>54.128934999999998</v>
      </c>
      <c r="E267">
        <f>MIN(B267:B316)</f>
        <v>43.39</v>
      </c>
      <c r="F267">
        <f>MAX(B267:B316)</f>
        <v>53.56</v>
      </c>
      <c r="I267" t="str">
        <f t="shared" si="9"/>
        <v>Positive slope</v>
      </c>
      <c r="J267" t="str">
        <f t="shared" si="10"/>
        <v>Positive slope</v>
      </c>
    </row>
    <row r="268" spans="1:10" x14ac:dyDescent="0.2">
      <c r="A268" s="20">
        <v>42027</v>
      </c>
      <c r="B268">
        <v>45.26</v>
      </c>
      <c r="C268">
        <f>AVERAGE(B268:B287)</f>
        <v>49.496000000000002</v>
      </c>
      <c r="D268">
        <f>AVERAGE(C268:C367)</f>
        <v>54.219205000000002</v>
      </c>
      <c r="E268">
        <f>MIN(B268:B317)</f>
        <v>43.39</v>
      </c>
      <c r="F268">
        <f>MAX(B268:B317)</f>
        <v>53.56</v>
      </c>
      <c r="I268" t="str">
        <f t="shared" si="9"/>
        <v>Positive slope</v>
      </c>
      <c r="J268" t="str">
        <f t="shared" si="10"/>
        <v>Positive slope</v>
      </c>
    </row>
    <row r="269" spans="1:10" x14ac:dyDescent="0.2">
      <c r="A269" s="20">
        <v>42030</v>
      </c>
      <c r="B269">
        <v>44.8</v>
      </c>
      <c r="C269">
        <f>AVERAGE(B269:B288)</f>
        <v>49.730499999999992</v>
      </c>
      <c r="D269">
        <f>AVERAGE(C269:C368)</f>
        <v>54.302890000000005</v>
      </c>
      <c r="E269">
        <f>MIN(B269:B318)</f>
        <v>43.39</v>
      </c>
      <c r="F269">
        <f>MAX(B269:B318)</f>
        <v>53.56</v>
      </c>
      <c r="I269" t="str">
        <f t="shared" si="9"/>
        <v>Positive slope</v>
      </c>
      <c r="J269" t="str">
        <f t="shared" si="10"/>
        <v>Positive slope</v>
      </c>
    </row>
    <row r="270" spans="1:10" x14ac:dyDescent="0.2">
      <c r="A270" s="20">
        <v>42031</v>
      </c>
      <c r="B270">
        <v>45.84</v>
      </c>
      <c r="C270">
        <f>AVERAGE(B270:B289)</f>
        <v>49.968499999999992</v>
      </c>
      <c r="D270">
        <f>AVERAGE(C270:C369)</f>
        <v>54.38062</v>
      </c>
      <c r="E270">
        <f>MIN(B270:B319)</f>
        <v>43.39</v>
      </c>
      <c r="F270">
        <f>MAX(B270:B319)</f>
        <v>53.56</v>
      </c>
      <c r="I270" t="str">
        <f t="shared" si="9"/>
        <v>Positive slope</v>
      </c>
      <c r="J270" t="str">
        <f t="shared" si="10"/>
        <v>Positive slope</v>
      </c>
    </row>
    <row r="271" spans="1:10" x14ac:dyDescent="0.2">
      <c r="A271" s="20">
        <v>42032</v>
      </c>
      <c r="B271">
        <v>44.08</v>
      </c>
      <c r="C271">
        <f>AVERAGE(B271:B290)</f>
        <v>50.100499999999997</v>
      </c>
      <c r="D271">
        <f>AVERAGE(C271:C370)</f>
        <v>54.452299999999994</v>
      </c>
      <c r="E271">
        <f>MIN(B271:B320)</f>
        <v>43.39</v>
      </c>
      <c r="F271">
        <f>MAX(B271:B320)</f>
        <v>53.95</v>
      </c>
      <c r="I271" t="str">
        <f t="shared" si="9"/>
        <v>Positive slope</v>
      </c>
      <c r="J271" t="str">
        <f t="shared" si="10"/>
        <v>Positive slope</v>
      </c>
    </row>
    <row r="272" spans="1:10" x14ac:dyDescent="0.2">
      <c r="A272" s="20">
        <v>42033</v>
      </c>
      <c r="B272">
        <v>44.12</v>
      </c>
      <c r="C272">
        <f>AVERAGE(B272:B291)</f>
        <v>50.408999999999992</v>
      </c>
      <c r="D272">
        <f>AVERAGE(C272:C371)</f>
        <v>54.519179999999984</v>
      </c>
      <c r="E272">
        <f>MIN(B272:B321)</f>
        <v>43.39</v>
      </c>
      <c r="F272">
        <f>MAX(B272:B321)</f>
        <v>53.95</v>
      </c>
      <c r="I272" t="str">
        <f t="shared" si="9"/>
        <v>Positive slope</v>
      </c>
      <c r="J272" t="str">
        <f t="shared" si="10"/>
        <v>Positive slope</v>
      </c>
    </row>
    <row r="273" spans="1:10" x14ac:dyDescent="0.2">
      <c r="A273" s="20">
        <v>42034</v>
      </c>
      <c r="B273">
        <v>47.79</v>
      </c>
      <c r="C273">
        <f>AVERAGE(B273:B292)</f>
        <v>50.585499999999996</v>
      </c>
      <c r="D273">
        <f>AVERAGE(C273:C372)</f>
        <v>54.578729999999986</v>
      </c>
      <c r="E273">
        <f>MIN(B273:B322)</f>
        <v>43.39</v>
      </c>
      <c r="F273">
        <f>MAX(B273:B322)</f>
        <v>53.95</v>
      </c>
      <c r="I273" t="str">
        <f t="shared" si="9"/>
        <v>Positive slope</v>
      </c>
      <c r="J273" t="str">
        <f t="shared" si="10"/>
        <v>Positive slope</v>
      </c>
    </row>
    <row r="274" spans="1:10" x14ac:dyDescent="0.2">
      <c r="A274" s="20">
        <v>42037</v>
      </c>
      <c r="B274">
        <v>49.25</v>
      </c>
      <c r="C274">
        <f>AVERAGE(B274:B293)</f>
        <v>50.688000000000002</v>
      </c>
      <c r="D274">
        <f>AVERAGE(C274:C373)</f>
        <v>54.631759999999993</v>
      </c>
      <c r="E274">
        <f>MIN(B274:B323)</f>
        <v>43.39</v>
      </c>
      <c r="F274">
        <f>MAX(B274:B323)</f>
        <v>53.95</v>
      </c>
      <c r="I274" t="str">
        <f t="shared" si="9"/>
        <v>Positive slope</v>
      </c>
      <c r="J274" t="str">
        <f t="shared" si="10"/>
        <v>Positive slope</v>
      </c>
    </row>
    <row r="275" spans="1:10" x14ac:dyDescent="0.2">
      <c r="A275" s="20">
        <v>42038</v>
      </c>
      <c r="B275">
        <v>53.04</v>
      </c>
      <c r="C275">
        <f>AVERAGE(B275:B294)</f>
        <v>50.704999999999998</v>
      </c>
      <c r="D275">
        <f>AVERAGE(C275:C374)</f>
        <v>54.679394999999992</v>
      </c>
      <c r="E275">
        <f>MIN(B275:B324)</f>
        <v>43.39</v>
      </c>
      <c r="F275">
        <f>MAX(B275:B324)</f>
        <v>53.95</v>
      </c>
      <c r="I275" t="str">
        <f t="shared" si="9"/>
        <v>Negative slope</v>
      </c>
      <c r="J275" t="str">
        <f t="shared" si="10"/>
        <v>Positive slope</v>
      </c>
    </row>
    <row r="276" spans="1:10" x14ac:dyDescent="0.2">
      <c r="A276" s="20">
        <v>42039</v>
      </c>
      <c r="B276">
        <v>48.45</v>
      </c>
      <c r="C276">
        <f>AVERAGE(B276:B295)</f>
        <v>50.5745</v>
      </c>
      <c r="D276">
        <f>AVERAGE(C276:C375)</f>
        <v>54.721910000000001</v>
      </c>
      <c r="E276">
        <f>MIN(B276:B325)</f>
        <v>43.39</v>
      </c>
      <c r="F276">
        <f>MAX(B276:B325)</f>
        <v>53.95</v>
      </c>
      <c r="I276" t="str">
        <f t="shared" si="9"/>
        <v>Positive slope</v>
      </c>
      <c r="J276" t="str">
        <f t="shared" si="10"/>
        <v>Positive slope</v>
      </c>
    </row>
    <row r="277" spans="1:10" x14ac:dyDescent="0.2">
      <c r="A277" s="20">
        <v>42040</v>
      </c>
      <c r="B277">
        <v>50.48</v>
      </c>
      <c r="C277">
        <f>AVERAGE(B277:B296)</f>
        <v>50.728500000000011</v>
      </c>
      <c r="D277">
        <f>AVERAGE(C277:C376)</f>
        <v>54.760499999999993</v>
      </c>
      <c r="E277">
        <f>MIN(B277:B326)</f>
        <v>43.39</v>
      </c>
      <c r="F277">
        <f>MAX(B277:B326)</f>
        <v>56.25</v>
      </c>
      <c r="I277" t="str">
        <f t="shared" si="9"/>
        <v>Positive slope</v>
      </c>
      <c r="J277" t="str">
        <f t="shared" si="10"/>
        <v>Positive slope</v>
      </c>
    </row>
    <row r="278" spans="1:10" x14ac:dyDescent="0.2">
      <c r="A278" s="20">
        <v>42041</v>
      </c>
      <c r="B278">
        <v>51.66</v>
      </c>
      <c r="C278">
        <f>AVERAGE(B278:B297)</f>
        <v>50.742499999999993</v>
      </c>
      <c r="D278">
        <f>AVERAGE(C278:C377)</f>
        <v>54.792179999999988</v>
      </c>
      <c r="E278">
        <f>MIN(B278:B327)</f>
        <v>43.39</v>
      </c>
      <c r="F278">
        <f>MAX(B278:B327)</f>
        <v>56.69</v>
      </c>
      <c r="I278" t="str">
        <f t="shared" si="9"/>
        <v>Negative slope</v>
      </c>
      <c r="J278" t="str">
        <f t="shared" si="10"/>
        <v>Positive slope</v>
      </c>
    </row>
    <row r="279" spans="1:10" x14ac:dyDescent="0.2">
      <c r="A279" s="20">
        <v>42044</v>
      </c>
      <c r="B279">
        <v>52.99</v>
      </c>
      <c r="C279">
        <f>AVERAGE(B279:B298)</f>
        <v>50.64</v>
      </c>
      <c r="D279">
        <f>AVERAGE(C279:C378)</f>
        <v>54.817979999999991</v>
      </c>
      <c r="E279">
        <f>MIN(B279:B328)</f>
        <v>43.39</v>
      </c>
      <c r="F279">
        <f>MAX(B279:B328)</f>
        <v>56.69</v>
      </c>
      <c r="I279" t="str">
        <f t="shared" si="9"/>
        <v>Negative slope</v>
      </c>
      <c r="J279" t="str">
        <f t="shared" si="10"/>
        <v>Positive slope</v>
      </c>
    </row>
    <row r="280" spans="1:10" x14ac:dyDescent="0.2">
      <c r="A280" s="20">
        <v>42045</v>
      </c>
      <c r="B280">
        <v>50.06</v>
      </c>
      <c r="C280">
        <f>AVERAGE(B280:B299)</f>
        <v>50.488</v>
      </c>
      <c r="D280">
        <f>AVERAGE(C280:C379)</f>
        <v>54.839089999999985</v>
      </c>
      <c r="E280">
        <f>MIN(B280:B329)</f>
        <v>43.39</v>
      </c>
      <c r="F280">
        <f>MAX(B280:B329)</f>
        <v>56.69</v>
      </c>
      <c r="I280" t="str">
        <f t="shared" si="9"/>
        <v>Negative slope</v>
      </c>
      <c r="J280" t="str">
        <f t="shared" si="10"/>
        <v>Positive slope</v>
      </c>
    </row>
    <row r="281" spans="1:10" x14ac:dyDescent="0.2">
      <c r="A281" s="20">
        <v>42046</v>
      </c>
      <c r="B281">
        <v>48.8</v>
      </c>
      <c r="C281">
        <f>AVERAGE(B281:B300)</f>
        <v>50.405999999999999</v>
      </c>
      <c r="D281">
        <f>AVERAGE(C281:C380)</f>
        <v>54.856134999999988</v>
      </c>
      <c r="E281">
        <f>MIN(B281:B330)</f>
        <v>43.39</v>
      </c>
      <c r="F281">
        <f>MAX(B281:B330)</f>
        <v>56.69</v>
      </c>
      <c r="I281" t="str">
        <f t="shared" si="9"/>
        <v>Negative slope</v>
      </c>
      <c r="J281" t="str">
        <f t="shared" si="10"/>
        <v>Positive slope</v>
      </c>
    </row>
    <row r="282" spans="1:10" x14ac:dyDescent="0.2">
      <c r="A282" s="20">
        <v>42047</v>
      </c>
      <c r="B282">
        <v>51.17</v>
      </c>
      <c r="C282">
        <f>AVERAGE(B282:B301)</f>
        <v>50.369000000000007</v>
      </c>
      <c r="D282">
        <f>AVERAGE(C282:C381)</f>
        <v>54.868244999999987</v>
      </c>
      <c r="E282">
        <f>MIN(B282:B331)</f>
        <v>43.39</v>
      </c>
      <c r="F282">
        <f>MAX(B282:B331)</f>
        <v>56.69</v>
      </c>
      <c r="I282" t="str">
        <f t="shared" si="9"/>
        <v>Negative slope</v>
      </c>
      <c r="J282" t="str">
        <f t="shared" si="10"/>
        <v>Positive slope</v>
      </c>
    </row>
    <row r="283" spans="1:10" x14ac:dyDescent="0.2">
      <c r="A283" s="20">
        <v>42048</v>
      </c>
      <c r="B283">
        <v>52.66</v>
      </c>
      <c r="C283">
        <f>AVERAGE(B283:B302)</f>
        <v>50.166499999999999</v>
      </c>
      <c r="D283">
        <f>AVERAGE(C283:C382)</f>
        <v>54.876639999999988</v>
      </c>
      <c r="E283">
        <f>MIN(B283:B332)</f>
        <v>43.39</v>
      </c>
      <c r="F283">
        <f>MAX(B283:B332)</f>
        <v>56.69</v>
      </c>
      <c r="I283" t="str">
        <f t="shared" si="9"/>
        <v>Negative slope</v>
      </c>
      <c r="J283" t="str">
        <f t="shared" si="10"/>
        <v>Positive slope</v>
      </c>
    </row>
    <row r="284" spans="1:10" x14ac:dyDescent="0.2">
      <c r="A284" s="20">
        <v>42051</v>
      </c>
      <c r="B284">
        <v>52.66</v>
      </c>
      <c r="C284">
        <f>AVERAGE(B284:B303)</f>
        <v>49.777499999999996</v>
      </c>
      <c r="D284">
        <f>AVERAGE(C284:C383)</f>
        <v>54.88285999999998</v>
      </c>
      <c r="E284">
        <f>MIN(B284:B333)</f>
        <v>43.39</v>
      </c>
      <c r="F284">
        <f>MAX(B284:B333)</f>
        <v>56.69</v>
      </c>
      <c r="I284" t="str">
        <f t="shared" si="9"/>
        <v>Negative slope</v>
      </c>
      <c r="J284" t="str">
        <f t="shared" si="10"/>
        <v>Positive slope</v>
      </c>
    </row>
    <row r="285" spans="1:10" x14ac:dyDescent="0.2">
      <c r="A285" s="20">
        <v>42052</v>
      </c>
      <c r="B285">
        <v>53.56</v>
      </c>
      <c r="C285">
        <f>AVERAGE(B285:B304)</f>
        <v>49.340999999999994</v>
      </c>
      <c r="D285">
        <f>AVERAGE(C285:C384)</f>
        <v>54.888059999999975</v>
      </c>
      <c r="E285">
        <f>MIN(B285:B334)</f>
        <v>43.39</v>
      </c>
      <c r="F285">
        <f>MAX(B285:B334)</f>
        <v>56.69</v>
      </c>
      <c r="I285" t="str">
        <f t="shared" si="9"/>
        <v>Negative slope</v>
      </c>
      <c r="J285" t="str">
        <f t="shared" si="10"/>
        <v>Positive slope</v>
      </c>
    </row>
    <row r="286" spans="1:10" x14ac:dyDescent="0.2">
      <c r="A286" s="20">
        <v>42053</v>
      </c>
      <c r="B286">
        <v>52.13</v>
      </c>
      <c r="C286">
        <f>AVERAGE(B286:B305)</f>
        <v>48.832500000000003</v>
      </c>
      <c r="D286">
        <f>AVERAGE(C286:C385)</f>
        <v>54.89400999999998</v>
      </c>
      <c r="E286">
        <f>MIN(B286:B335)</f>
        <v>43.39</v>
      </c>
      <c r="F286">
        <f>MAX(B286:B335)</f>
        <v>57.05</v>
      </c>
      <c r="I286" t="str">
        <f t="shared" si="9"/>
        <v>Negative slope</v>
      </c>
      <c r="J286" t="str">
        <f t="shared" si="10"/>
        <v>Positive slope</v>
      </c>
    </row>
    <row r="287" spans="1:10" x14ac:dyDescent="0.2">
      <c r="A287" s="20">
        <v>42054</v>
      </c>
      <c r="B287">
        <v>51.12</v>
      </c>
      <c r="C287">
        <f>AVERAGE(B287:B306)</f>
        <v>48.457499999999996</v>
      </c>
      <c r="D287">
        <f>AVERAGE(C287:C386)</f>
        <v>54.901754999999987</v>
      </c>
      <c r="E287">
        <f>MIN(B287:B336)</f>
        <v>43.39</v>
      </c>
      <c r="F287">
        <f>MAX(B287:B336)</f>
        <v>58.55</v>
      </c>
      <c r="I287" t="str">
        <f t="shared" si="9"/>
        <v>Negative slope</v>
      </c>
      <c r="J287" t="str">
        <f t="shared" si="10"/>
        <v>Positive slope</v>
      </c>
    </row>
    <row r="288" spans="1:10" x14ac:dyDescent="0.2">
      <c r="A288" s="20">
        <v>42055</v>
      </c>
      <c r="B288">
        <v>49.95</v>
      </c>
      <c r="C288">
        <f>AVERAGE(B288:B307)</f>
        <v>48.102500000000006</v>
      </c>
      <c r="D288">
        <f>AVERAGE(C288:C387)</f>
        <v>54.910009999999986</v>
      </c>
      <c r="E288">
        <f>MIN(B288:B337)</f>
        <v>43.39</v>
      </c>
      <c r="F288">
        <f>MAX(B288:B337)</f>
        <v>59.62</v>
      </c>
      <c r="I288" t="str">
        <f t="shared" si="9"/>
        <v>Negative slope</v>
      </c>
      <c r="J288" t="str">
        <f t="shared" si="10"/>
        <v>Positive slope</v>
      </c>
    </row>
    <row r="289" spans="1:11" x14ac:dyDescent="0.2">
      <c r="A289" s="20">
        <v>42058</v>
      </c>
      <c r="B289">
        <v>49.56</v>
      </c>
      <c r="C289">
        <f>AVERAGE(B289:B308)</f>
        <v>47.905000000000001</v>
      </c>
      <c r="D289">
        <f>AVERAGE(C289:C388)</f>
        <v>54.917779999999986</v>
      </c>
      <c r="E289">
        <f>MIN(B289:B338)</f>
        <v>43.39</v>
      </c>
      <c r="F289">
        <f>MAX(B289:B338)</f>
        <v>59.62</v>
      </c>
      <c r="I289" t="str">
        <f t="shared" si="9"/>
        <v>Negative slope</v>
      </c>
      <c r="J289" t="str">
        <f t="shared" si="10"/>
        <v>Positive slope</v>
      </c>
    </row>
    <row r="290" spans="1:11" x14ac:dyDescent="0.2">
      <c r="A290" s="20">
        <v>42059</v>
      </c>
      <c r="B290">
        <v>48.48</v>
      </c>
      <c r="C290">
        <f>AVERAGE(B290:B309)</f>
        <v>47.79699999999999</v>
      </c>
      <c r="D290">
        <f>AVERAGE(C290:C389)</f>
        <v>54.923089999999981</v>
      </c>
      <c r="E290">
        <f>MIN(B290:B339)</f>
        <v>43.39</v>
      </c>
      <c r="F290">
        <f>MAX(B290:B339)</f>
        <v>59.62</v>
      </c>
      <c r="I290" t="str">
        <f t="shared" si="9"/>
        <v>Negative slope</v>
      </c>
      <c r="J290" t="str">
        <f t="shared" si="10"/>
        <v>Positive slope</v>
      </c>
    </row>
    <row r="291" spans="1:11" x14ac:dyDescent="0.2">
      <c r="A291" s="20">
        <v>42060</v>
      </c>
      <c r="B291">
        <v>50.25</v>
      </c>
      <c r="C291">
        <f>AVERAGE(B291:B310)</f>
        <v>47.724499999999992</v>
      </c>
      <c r="D291">
        <f>AVERAGE(C291:C390)</f>
        <v>54.925854999999991</v>
      </c>
      <c r="E291">
        <f>MIN(B291:B340)</f>
        <v>43.39</v>
      </c>
      <c r="F291">
        <f>MAX(B291:B340)</f>
        <v>60.38</v>
      </c>
      <c r="I291" t="str">
        <f t="shared" si="9"/>
        <v>Negative slope</v>
      </c>
      <c r="J291" t="str">
        <f t="shared" si="10"/>
        <v>Negative slope</v>
      </c>
    </row>
    <row r="292" spans="1:11" x14ac:dyDescent="0.2">
      <c r="A292" s="20">
        <v>42061</v>
      </c>
      <c r="B292">
        <v>47.65</v>
      </c>
      <c r="C292">
        <f>AVERAGE(B292:B311)</f>
        <v>47.649499999999996</v>
      </c>
      <c r="D292">
        <f>AVERAGE(C292:C391)</f>
        <v>54.924374999999991</v>
      </c>
      <c r="E292">
        <f>MIN(B292:B341)</f>
        <v>43.39</v>
      </c>
      <c r="F292">
        <f>MAX(B292:B341)</f>
        <v>60.93</v>
      </c>
      <c r="I292" t="str">
        <f t="shared" si="9"/>
        <v>Positive slope</v>
      </c>
      <c r="J292" t="str">
        <f t="shared" si="10"/>
        <v>Negative slope</v>
      </c>
    </row>
    <row r="293" spans="1:11" x14ac:dyDescent="0.2">
      <c r="A293" s="20">
        <v>42062</v>
      </c>
      <c r="B293">
        <v>49.84</v>
      </c>
      <c r="C293">
        <f>AVERAGE(B293:B312)</f>
        <v>47.837499999999991</v>
      </c>
      <c r="D293">
        <f>AVERAGE(C293:C392)</f>
        <v>54.919554999999981</v>
      </c>
      <c r="E293">
        <f>MIN(B293:B342)</f>
        <v>43.39</v>
      </c>
      <c r="F293">
        <f>MAX(B293:B342)</f>
        <v>60.93</v>
      </c>
      <c r="I293" t="str">
        <f t="shared" si="9"/>
        <v>Negative slope</v>
      </c>
      <c r="J293" t="str">
        <f t="shared" si="10"/>
        <v>Negative slope</v>
      </c>
    </row>
    <row r="294" spans="1:11" x14ac:dyDescent="0.2">
      <c r="A294" s="20">
        <v>42065</v>
      </c>
      <c r="B294">
        <v>49.59</v>
      </c>
      <c r="C294">
        <f>AVERAGE(B294:B313)</f>
        <v>47.786999999999992</v>
      </c>
      <c r="D294">
        <f>AVERAGE(C294:C393)</f>
        <v>54.908539999999974</v>
      </c>
      <c r="E294">
        <f>MIN(B294:B343)</f>
        <v>43.39</v>
      </c>
      <c r="F294">
        <f>MAX(B294:B343)</f>
        <v>60.93</v>
      </c>
      <c r="I294" t="str">
        <f t="shared" si="9"/>
        <v>Negative slope</v>
      </c>
      <c r="J294" t="str">
        <f t="shared" si="10"/>
        <v>Negative slope</v>
      </c>
    </row>
    <row r="295" spans="1:11" x14ac:dyDescent="0.2">
      <c r="A295" s="20">
        <v>42066</v>
      </c>
      <c r="B295">
        <v>50.43</v>
      </c>
      <c r="C295">
        <f>AVERAGE(B295:B314)</f>
        <v>47.740499999999997</v>
      </c>
      <c r="D295">
        <f>AVERAGE(C295:C394)</f>
        <v>54.893814999999989</v>
      </c>
      <c r="E295">
        <f>MIN(B295:B344)</f>
        <v>43.39</v>
      </c>
      <c r="F295">
        <f>MAX(B295:B344)</f>
        <v>60.93</v>
      </c>
      <c r="I295" t="str">
        <f t="shared" si="9"/>
        <v>Negative slope</v>
      </c>
      <c r="J295" t="str">
        <f t="shared" si="10"/>
        <v>Negative slope</v>
      </c>
    </row>
    <row r="296" spans="1:11" x14ac:dyDescent="0.2">
      <c r="A296" s="20">
        <v>42067</v>
      </c>
      <c r="B296">
        <v>51.53</v>
      </c>
      <c r="C296">
        <f>AVERAGE(B296:B315)</f>
        <v>47.604999999999997</v>
      </c>
      <c r="D296">
        <f>AVERAGE(C296:C395)</f>
        <v>54.875464999999991</v>
      </c>
      <c r="E296">
        <f>MIN(B296:B345)</f>
        <v>43.39</v>
      </c>
      <c r="F296">
        <f>MAX(B296:B345)</f>
        <v>60.93</v>
      </c>
      <c r="I296" t="str">
        <f t="shared" si="9"/>
        <v>Negative slope</v>
      </c>
      <c r="J296" t="str">
        <f t="shared" si="10"/>
        <v>Negative slope</v>
      </c>
    </row>
    <row r="297" spans="1:11" x14ac:dyDescent="0.2">
      <c r="A297" s="20">
        <v>42068</v>
      </c>
      <c r="B297">
        <v>50.76</v>
      </c>
      <c r="C297">
        <f>AVERAGE(B297:B316)</f>
        <v>47.534499999999994</v>
      </c>
      <c r="D297">
        <f>AVERAGE(C297:C396)</f>
        <v>54.85446499999999</v>
      </c>
      <c r="E297">
        <f>MIN(B297:B346)</f>
        <v>43.39</v>
      </c>
      <c r="F297">
        <f>MAX(B297:B346)</f>
        <v>60.93</v>
      </c>
      <c r="I297" t="str">
        <f t="shared" si="9"/>
        <v>Negative slope</v>
      </c>
      <c r="J297" t="str">
        <f t="shared" si="10"/>
        <v>Negative slope</v>
      </c>
    </row>
    <row r="298" spans="1:11" x14ac:dyDescent="0.2">
      <c r="A298" s="20">
        <v>42069</v>
      </c>
      <c r="B298">
        <v>49.61</v>
      </c>
      <c r="C298">
        <f>AVERAGE(B298:B317)</f>
        <v>47.452999999999996</v>
      </c>
      <c r="D298">
        <f>AVERAGE(C298:C397)</f>
        <v>54.829909999999991</v>
      </c>
      <c r="E298">
        <f>MIN(B298:B347)</f>
        <v>43.39</v>
      </c>
      <c r="F298">
        <f>MAX(B298:B347)</f>
        <v>60.93</v>
      </c>
      <c r="I298" t="str">
        <f t="shared" si="9"/>
        <v>Negative slope</v>
      </c>
      <c r="J298" t="str">
        <f t="shared" si="10"/>
        <v>Negative slope</v>
      </c>
    </row>
    <row r="299" spans="1:11" x14ac:dyDescent="0.2">
      <c r="A299" s="20">
        <v>42072</v>
      </c>
      <c r="B299">
        <v>49.95</v>
      </c>
      <c r="C299">
        <f>AVERAGE(B299:B318)</f>
        <v>47.428999999999995</v>
      </c>
      <c r="D299">
        <f>AVERAGE(C299:C398)</f>
        <v>54.802614999999996</v>
      </c>
      <c r="E299">
        <f>MIN(B299:B348)</f>
        <v>43.39</v>
      </c>
      <c r="F299">
        <f>MAX(B299:B348)</f>
        <v>60.93</v>
      </c>
      <c r="I299" t="str">
        <f t="shared" si="9"/>
        <v>Positive slope</v>
      </c>
      <c r="J299" t="str">
        <f t="shared" si="10"/>
        <v>Negative slope</v>
      </c>
    </row>
    <row r="300" spans="1:11" x14ac:dyDescent="0.2">
      <c r="A300" s="20">
        <v>42073</v>
      </c>
      <c r="B300">
        <v>48.42</v>
      </c>
      <c r="C300">
        <f>AVERAGE(B300:B319)</f>
        <v>47.535499999999999</v>
      </c>
      <c r="D300">
        <f>AVERAGE(C300:C399)</f>
        <v>54.771795000000004</v>
      </c>
      <c r="E300">
        <f>MIN(B300:B349)</f>
        <v>43.39</v>
      </c>
      <c r="F300">
        <f>MAX(B300:B349)</f>
        <v>60.93</v>
      </c>
      <c r="I300" t="str">
        <f t="shared" si="9"/>
        <v>Positive slope</v>
      </c>
      <c r="J300" t="str">
        <f t="shared" si="10"/>
        <v>Negative slope</v>
      </c>
    </row>
    <row r="301" spans="1:11" x14ac:dyDescent="0.2">
      <c r="A301" s="20">
        <v>42074</v>
      </c>
      <c r="B301">
        <v>48.06</v>
      </c>
      <c r="C301">
        <f>AVERAGE(B301:B320)</f>
        <v>47.811999999999998</v>
      </c>
      <c r="D301">
        <f>AVERAGE(C301:C400)</f>
        <v>54.73543500000001</v>
      </c>
      <c r="E301">
        <f>MIN(B301:B350)</f>
        <v>43.39</v>
      </c>
      <c r="F301">
        <f>MAX(B301:B350)</f>
        <v>60.93</v>
      </c>
      <c r="I301" t="str">
        <f t="shared" si="9"/>
        <v>Positive slope</v>
      </c>
      <c r="J301" t="str">
        <f t="shared" si="10"/>
        <v>Negative slope</v>
      </c>
    </row>
    <row r="302" spans="1:11" x14ac:dyDescent="0.2">
      <c r="A302" s="20">
        <v>42075</v>
      </c>
      <c r="B302">
        <v>47.12</v>
      </c>
      <c r="C302">
        <f>AVERAGE(B302:B321)</f>
        <v>47.931000000000004</v>
      </c>
      <c r="D302">
        <f>AVERAGE(C302:C401)</f>
        <v>54.691899999999997</v>
      </c>
      <c r="E302">
        <f>MIN(B302:B351)</f>
        <v>43.39</v>
      </c>
      <c r="F302">
        <f>MAX(B302:B351)</f>
        <v>60.93</v>
      </c>
      <c r="I302" t="str">
        <f t="shared" si="9"/>
        <v>Positive slope</v>
      </c>
      <c r="J302" t="str">
        <f t="shared" si="10"/>
        <v>Negative slope</v>
      </c>
    </row>
    <row r="303" spans="1:11" x14ac:dyDescent="0.2">
      <c r="A303" s="20">
        <v>42076</v>
      </c>
      <c r="B303">
        <v>44.88</v>
      </c>
      <c r="C303">
        <f>AVERAGE(B303:B322)</f>
        <v>48.1145</v>
      </c>
      <c r="D303">
        <f>AVERAGE(C303:C402)</f>
        <v>54.642039999999994</v>
      </c>
      <c r="E303">
        <f>MIN(B303:B352)</f>
        <v>43.39</v>
      </c>
      <c r="F303">
        <f>MAX(B303:B352)</f>
        <v>60.93</v>
      </c>
      <c r="I303" t="str">
        <f t="shared" si="9"/>
        <v>Positive slope</v>
      </c>
      <c r="J303" t="str">
        <f t="shared" si="10"/>
        <v>Negative slope</v>
      </c>
    </row>
    <row r="304" spans="1:11" x14ac:dyDescent="0.2">
      <c r="A304" s="20">
        <v>42079</v>
      </c>
      <c r="B304">
        <v>43.93</v>
      </c>
      <c r="C304">
        <f>AVERAGE(B304:B323)</f>
        <v>48.452000000000005</v>
      </c>
      <c r="D304">
        <f>AVERAGE(C304:C403)</f>
        <v>54.58731499999999</v>
      </c>
      <c r="E304">
        <f>MIN(B304:B353)</f>
        <v>43.39</v>
      </c>
      <c r="F304">
        <f>MAX(B304:B353)</f>
        <v>60.93</v>
      </c>
      <c r="I304" t="str">
        <f t="shared" si="9"/>
        <v>Positive slope</v>
      </c>
      <c r="J304" t="str">
        <f t="shared" si="10"/>
        <v>Negative slope</v>
      </c>
      <c r="K304" s="21"/>
    </row>
    <row r="305" spans="1:10" x14ac:dyDescent="0.2">
      <c r="A305" s="20">
        <v>42080</v>
      </c>
      <c r="B305">
        <v>43.39</v>
      </c>
      <c r="C305">
        <f>AVERAGE(B305:B324)</f>
        <v>48.853000000000002</v>
      </c>
      <c r="D305">
        <f>AVERAGE(C305:C404)</f>
        <v>54.528304999999989</v>
      </c>
      <c r="E305">
        <f>MIN(B305:B354)</f>
        <v>43.39</v>
      </c>
      <c r="F305">
        <f>MAX(B305:B354)</f>
        <v>60.93</v>
      </c>
      <c r="I305" t="str">
        <f t="shared" si="9"/>
        <v>Positive slope</v>
      </c>
      <c r="J305" t="str">
        <f t="shared" si="10"/>
        <v>Negative slope</v>
      </c>
    </row>
    <row r="306" spans="1:10" x14ac:dyDescent="0.2">
      <c r="A306" s="20">
        <v>42081</v>
      </c>
      <c r="B306">
        <v>44.63</v>
      </c>
      <c r="C306">
        <f>AVERAGE(B306:B325)</f>
        <v>49.348500000000008</v>
      </c>
      <c r="D306">
        <f>AVERAGE(C306:C405)</f>
        <v>54.467259999999996</v>
      </c>
      <c r="E306">
        <f>MIN(B306:B355)</f>
        <v>44.02</v>
      </c>
      <c r="F306">
        <f>MAX(B306:B355)</f>
        <v>60.93</v>
      </c>
      <c r="I306" t="str">
        <f t="shared" si="9"/>
        <v>Positive slope</v>
      </c>
      <c r="J306" t="str">
        <f t="shared" si="10"/>
        <v>Negative slope</v>
      </c>
    </row>
    <row r="307" spans="1:10" x14ac:dyDescent="0.2">
      <c r="A307" s="20">
        <v>42082</v>
      </c>
      <c r="B307">
        <v>44.02</v>
      </c>
      <c r="C307">
        <f>AVERAGE(B307:B326)</f>
        <v>49.929500000000004</v>
      </c>
      <c r="D307">
        <f>AVERAGE(C307:C406)</f>
        <v>54.401074999999985</v>
      </c>
      <c r="E307">
        <f>MIN(B307:B356)</f>
        <v>44.02</v>
      </c>
      <c r="F307">
        <f>MAX(B307:B356)</f>
        <v>60.93</v>
      </c>
      <c r="I307" t="str">
        <f t="shared" si="9"/>
        <v>Positive slope</v>
      </c>
      <c r="J307" t="str">
        <f t="shared" si="10"/>
        <v>Negative slope</v>
      </c>
    </row>
    <row r="308" spans="1:10" x14ac:dyDescent="0.2">
      <c r="A308" s="20">
        <v>42083</v>
      </c>
      <c r="B308">
        <v>46</v>
      </c>
      <c r="C308">
        <f>AVERAGE(B308:B327)</f>
        <v>50.563000000000002</v>
      </c>
      <c r="D308">
        <f>AVERAGE(C308:C407)</f>
        <v>54.329664999999984</v>
      </c>
      <c r="E308">
        <f>MIN(B308:B357)</f>
        <v>46</v>
      </c>
      <c r="F308">
        <f>MAX(B308:B357)</f>
        <v>60.93</v>
      </c>
      <c r="I308" t="str">
        <f t="shared" si="9"/>
        <v>Positive slope</v>
      </c>
      <c r="J308" t="str">
        <f t="shared" si="10"/>
        <v>Negative slope</v>
      </c>
    </row>
    <row r="309" spans="1:10" x14ac:dyDescent="0.2">
      <c r="A309" s="20">
        <v>42086</v>
      </c>
      <c r="B309">
        <v>47.4</v>
      </c>
      <c r="C309">
        <f>AVERAGE(B309:B328)</f>
        <v>51.048500000000004</v>
      </c>
      <c r="D309">
        <f>AVERAGE(C309:C408)</f>
        <v>54.252949999999984</v>
      </c>
      <c r="E309">
        <f>MIN(B309:B358)</f>
        <v>47.03</v>
      </c>
      <c r="F309">
        <f>MAX(B309:B358)</f>
        <v>60.93</v>
      </c>
      <c r="I309" t="str">
        <f t="shared" si="9"/>
        <v>Positive slope</v>
      </c>
      <c r="J309" t="str">
        <f t="shared" si="10"/>
        <v>Negative slope</v>
      </c>
    </row>
    <row r="310" spans="1:10" x14ac:dyDescent="0.2">
      <c r="A310" s="20">
        <v>42087</v>
      </c>
      <c r="B310">
        <v>47.03</v>
      </c>
      <c r="C310">
        <f>AVERAGE(B310:B329)</f>
        <v>51.496999999999993</v>
      </c>
      <c r="D310">
        <f>AVERAGE(C310:C409)</f>
        <v>54.172454999999985</v>
      </c>
      <c r="E310">
        <f>MIN(B310:B359)</f>
        <v>47.03</v>
      </c>
      <c r="F310">
        <f>MAX(B310:B359)</f>
        <v>60.93</v>
      </c>
      <c r="I310" t="str">
        <f t="shared" si="9"/>
        <v>Positive slope</v>
      </c>
      <c r="J310" t="str">
        <f t="shared" si="10"/>
        <v>Negative slope</v>
      </c>
    </row>
    <row r="311" spans="1:10" x14ac:dyDescent="0.2">
      <c r="A311" s="20">
        <v>42088</v>
      </c>
      <c r="B311">
        <v>48.75</v>
      </c>
      <c r="C311">
        <f>AVERAGE(B311:B330)</f>
        <v>51.924500000000002</v>
      </c>
      <c r="D311">
        <f>AVERAGE(C311:C410)</f>
        <v>54.087964999999983</v>
      </c>
      <c r="E311">
        <f>MIN(B311:B360)</f>
        <v>47.72</v>
      </c>
      <c r="F311">
        <f>MAX(B311:B360)</f>
        <v>61.3</v>
      </c>
      <c r="I311" t="str">
        <f t="shared" si="9"/>
        <v>Positive slope</v>
      </c>
      <c r="J311" t="str">
        <f t="shared" si="10"/>
        <v>Negative slope</v>
      </c>
    </row>
    <row r="312" spans="1:10" x14ac:dyDescent="0.2">
      <c r="A312" s="20">
        <v>42089</v>
      </c>
      <c r="B312">
        <v>51.41</v>
      </c>
      <c r="C312">
        <f>AVERAGE(B312:B331)</f>
        <v>52.295500000000004</v>
      </c>
      <c r="D312">
        <f>AVERAGE(C312:C411)</f>
        <v>53.999709999999986</v>
      </c>
      <c r="E312">
        <f>MIN(B312:B361)</f>
        <v>47.72</v>
      </c>
      <c r="F312">
        <f>MAX(B312:B361)</f>
        <v>61.3</v>
      </c>
      <c r="I312" t="str">
        <f t="shared" si="9"/>
        <v>Positive slope</v>
      </c>
      <c r="J312" t="str">
        <f t="shared" si="10"/>
        <v>Negative slope</v>
      </c>
    </row>
    <row r="313" spans="1:10" x14ac:dyDescent="0.2">
      <c r="A313" s="20">
        <v>42090</v>
      </c>
      <c r="B313">
        <v>48.83</v>
      </c>
      <c r="C313">
        <f>AVERAGE(B313:B332)</f>
        <v>52.554500000000004</v>
      </c>
      <c r="D313">
        <f>AVERAGE(C313:C412)</f>
        <v>53.90905999999999</v>
      </c>
      <c r="E313">
        <f>MIN(B313:B362)</f>
        <v>47.72</v>
      </c>
      <c r="F313">
        <f>MAX(B313:B362)</f>
        <v>61.3</v>
      </c>
      <c r="I313" t="str">
        <f t="shared" si="9"/>
        <v>Positive slope</v>
      </c>
      <c r="J313" t="str">
        <f t="shared" si="10"/>
        <v>Negative slope</v>
      </c>
    </row>
    <row r="314" spans="1:10" x14ac:dyDescent="0.2">
      <c r="A314" s="20">
        <v>42093</v>
      </c>
      <c r="B314">
        <v>48.66</v>
      </c>
      <c r="C314">
        <f>AVERAGE(B314:B333)</f>
        <v>52.911999999999999</v>
      </c>
      <c r="D314">
        <f>AVERAGE(C314:C413)</f>
        <v>53.817059999999998</v>
      </c>
      <c r="E314">
        <f>MIN(B314:B363)</f>
        <v>47.72</v>
      </c>
      <c r="F314">
        <f>MAX(B314:B363)</f>
        <v>61.3</v>
      </c>
      <c r="I314" t="str">
        <f t="shared" si="9"/>
        <v>Positive slope</v>
      </c>
      <c r="J314" t="str">
        <f t="shared" si="10"/>
        <v>Negative slope</v>
      </c>
    </row>
    <row r="315" spans="1:10" x14ac:dyDescent="0.2">
      <c r="A315" s="20">
        <v>42094</v>
      </c>
      <c r="B315">
        <v>47.72</v>
      </c>
      <c r="C315">
        <f>AVERAGE(B315:B334)</f>
        <v>53.257000000000005</v>
      </c>
      <c r="D315">
        <f>AVERAGE(C315:C414)</f>
        <v>53.722294999999995</v>
      </c>
      <c r="E315">
        <f>MIN(B315:B364)</f>
        <v>47.72</v>
      </c>
      <c r="F315">
        <f>MAX(B315:B364)</f>
        <v>61.3</v>
      </c>
      <c r="I315" t="str">
        <f t="shared" si="9"/>
        <v>Positive slope</v>
      </c>
      <c r="J315" t="str">
        <f t="shared" si="10"/>
        <v>Negative slope</v>
      </c>
    </row>
    <row r="316" spans="1:10" x14ac:dyDescent="0.2">
      <c r="A316" s="20">
        <v>42095</v>
      </c>
      <c r="B316">
        <v>50.12</v>
      </c>
      <c r="C316">
        <f>AVERAGE(B316:B335)</f>
        <v>53.723500000000001</v>
      </c>
      <c r="D316">
        <f>AVERAGE(C316:C415)</f>
        <v>53.625404999999994</v>
      </c>
      <c r="E316">
        <f>MIN(B316:B365)</f>
        <v>49.13</v>
      </c>
      <c r="F316">
        <f>MAX(B316:B365)</f>
        <v>61.3</v>
      </c>
      <c r="I316" t="str">
        <f t="shared" si="9"/>
        <v>Positive slope</v>
      </c>
      <c r="J316" t="str">
        <f t="shared" si="10"/>
        <v>Negative slope</v>
      </c>
    </row>
    <row r="317" spans="1:10" x14ac:dyDescent="0.2">
      <c r="A317" s="20">
        <v>42096</v>
      </c>
      <c r="B317">
        <v>49.13</v>
      </c>
      <c r="C317">
        <f>AVERAGE(B317:B336)</f>
        <v>54.145000000000003</v>
      </c>
      <c r="D317">
        <f>AVERAGE(C317:C416)</f>
        <v>53.526119999999992</v>
      </c>
      <c r="E317">
        <f>MIN(B317:B366)</f>
        <v>49.13</v>
      </c>
      <c r="F317">
        <f>MAX(B317:B366)</f>
        <v>61.36</v>
      </c>
      <c r="I317" t="str">
        <f t="shared" si="9"/>
        <v>Positive slope</v>
      </c>
      <c r="J317" t="str">
        <f t="shared" si="10"/>
        <v>Negative slope</v>
      </c>
    </row>
    <row r="318" spans="1:10" x14ac:dyDescent="0.2">
      <c r="A318" s="20">
        <v>42097</v>
      </c>
      <c r="B318">
        <v>49.13</v>
      </c>
      <c r="C318">
        <f>AVERAGE(B318:B337)</f>
        <v>54.669499999999992</v>
      </c>
      <c r="D318">
        <f>AVERAGE(C318:C417)</f>
        <v>53.425710000000002</v>
      </c>
      <c r="E318">
        <f>MIN(B318:B367)</f>
        <v>49.13</v>
      </c>
      <c r="F318">
        <f>MAX(B318:B367)</f>
        <v>61.36</v>
      </c>
      <c r="I318" t="str">
        <f t="shared" si="9"/>
        <v>Positive slope</v>
      </c>
      <c r="J318" t="str">
        <f t="shared" si="10"/>
        <v>Negative slope</v>
      </c>
    </row>
    <row r="319" spans="1:10" x14ac:dyDescent="0.2">
      <c r="A319" s="20">
        <v>42100</v>
      </c>
      <c r="B319">
        <v>52.08</v>
      </c>
      <c r="C319">
        <f>AVERAGE(B319:B338)</f>
        <v>55.167999999999985</v>
      </c>
      <c r="D319">
        <f>AVERAGE(C319:C418)</f>
        <v>53.321909999999995</v>
      </c>
      <c r="E319">
        <f>MIN(B319:B368)</f>
        <v>50.44</v>
      </c>
      <c r="F319">
        <f>MAX(B319:B368)</f>
        <v>61.36</v>
      </c>
      <c r="I319" t="str">
        <f t="shared" si="9"/>
        <v>Positive slope</v>
      </c>
      <c r="J319" t="str">
        <f t="shared" si="10"/>
        <v>Negative slope</v>
      </c>
    </row>
    <row r="320" spans="1:10" x14ac:dyDescent="0.2">
      <c r="A320" s="20">
        <v>42101</v>
      </c>
      <c r="B320">
        <v>53.95</v>
      </c>
      <c r="C320">
        <f>AVERAGE(B320:B339)</f>
        <v>55.510000000000005</v>
      </c>
      <c r="D320">
        <f>AVERAGE(C320:C419)</f>
        <v>53.21623499999999</v>
      </c>
      <c r="E320">
        <f>MIN(B320:B369)</f>
        <v>50.44</v>
      </c>
      <c r="F320">
        <f>MAX(B320:B369)</f>
        <v>61.36</v>
      </c>
      <c r="I320" t="str">
        <f t="shared" si="9"/>
        <v>Positive slope</v>
      </c>
      <c r="J320" t="str">
        <f t="shared" si="10"/>
        <v>Negative slope</v>
      </c>
    </row>
    <row r="321" spans="1:10" x14ac:dyDescent="0.2">
      <c r="A321" s="20">
        <v>42102</v>
      </c>
      <c r="B321">
        <v>50.44</v>
      </c>
      <c r="C321">
        <f>AVERAGE(B321:B340)</f>
        <v>55.831500000000005</v>
      </c>
      <c r="D321">
        <f>AVERAGE(C321:C420)</f>
        <v>53.111114999999991</v>
      </c>
      <c r="E321">
        <f>MIN(B321:B370)</f>
        <v>50.44</v>
      </c>
      <c r="F321">
        <f>MAX(B321:B370)</f>
        <v>61.36</v>
      </c>
      <c r="I321" t="str">
        <f t="shared" si="9"/>
        <v>Positive slope</v>
      </c>
      <c r="J321" t="str">
        <f t="shared" si="10"/>
        <v>Negative slope</v>
      </c>
    </row>
    <row r="322" spans="1:10" x14ac:dyDescent="0.2">
      <c r="A322" s="20">
        <v>42103</v>
      </c>
      <c r="B322">
        <v>50.79</v>
      </c>
      <c r="C322">
        <f>AVERAGE(B322:B341)</f>
        <v>56.355999999999995</v>
      </c>
      <c r="D322">
        <f>AVERAGE(C322:C421)</f>
        <v>53.005469999999988</v>
      </c>
      <c r="E322">
        <f>MIN(B322:B371)</f>
        <v>50.79</v>
      </c>
      <c r="F322">
        <f>MAX(B322:B371)</f>
        <v>61.36</v>
      </c>
      <c r="I322" t="str">
        <f t="shared" si="9"/>
        <v>Positive slope</v>
      </c>
      <c r="J322" t="str">
        <f t="shared" si="10"/>
        <v>Negative slope</v>
      </c>
    </row>
    <row r="323" spans="1:10" x14ac:dyDescent="0.2">
      <c r="A323" s="20">
        <v>42104</v>
      </c>
      <c r="B323">
        <v>51.63</v>
      </c>
      <c r="C323">
        <f>AVERAGE(B323:B342)</f>
        <v>56.765999999999998</v>
      </c>
      <c r="D323">
        <f>AVERAGE(C323:C422)</f>
        <v>52.897799999999989</v>
      </c>
      <c r="E323">
        <f>MIN(B323:B372)</f>
        <v>51.63</v>
      </c>
      <c r="F323">
        <f>MAX(B323:B372)</f>
        <v>61.36</v>
      </c>
      <c r="I323" t="str">
        <f t="shared" ref="I323:I386" si="11">IF((C324-C323)&gt;0, "Positive slope", "Negative slope")</f>
        <v>Positive slope</v>
      </c>
      <c r="J323" t="str">
        <f t="shared" ref="J323:J386" si="12">IF((D324-D323)&gt;0, "Positive slope", "Negative slope")</f>
        <v>Negative slope</v>
      </c>
    </row>
    <row r="324" spans="1:10" x14ac:dyDescent="0.2">
      <c r="A324" s="20">
        <v>42107</v>
      </c>
      <c r="B324">
        <v>51.95</v>
      </c>
      <c r="C324">
        <f>AVERAGE(B324:B343)</f>
        <v>57.155000000000008</v>
      </c>
      <c r="D324">
        <f>AVERAGE(C324:C423)</f>
        <v>52.787569999999988</v>
      </c>
      <c r="E324">
        <f>MIN(B324:B373)</f>
        <v>51.95</v>
      </c>
      <c r="F324">
        <f>MAX(B324:B373)</f>
        <v>61.36</v>
      </c>
      <c r="I324" t="str">
        <f t="shared" si="11"/>
        <v>Positive slope</v>
      </c>
      <c r="J324" t="str">
        <f t="shared" si="12"/>
        <v>Negative slope</v>
      </c>
    </row>
    <row r="325" spans="1:10" x14ac:dyDescent="0.2">
      <c r="A325" s="20">
        <v>42108</v>
      </c>
      <c r="B325">
        <v>53.3</v>
      </c>
      <c r="C325">
        <f>AVERAGE(B325:B344)</f>
        <v>57.518999999999991</v>
      </c>
      <c r="D325">
        <f>AVERAGE(C325:C424)</f>
        <v>52.673004999999996</v>
      </c>
      <c r="E325">
        <f>MIN(B325:B374)</f>
        <v>53.3</v>
      </c>
      <c r="F325">
        <f>MAX(B325:B374)</f>
        <v>61.36</v>
      </c>
      <c r="I325" t="str">
        <f t="shared" si="11"/>
        <v>Positive slope</v>
      </c>
      <c r="J325" t="str">
        <f t="shared" si="12"/>
        <v>Negative slope</v>
      </c>
    </row>
    <row r="326" spans="1:10" x14ac:dyDescent="0.2">
      <c r="A326" s="20">
        <v>42109</v>
      </c>
      <c r="B326">
        <v>56.25</v>
      </c>
      <c r="C326">
        <f>AVERAGE(B326:B345)</f>
        <v>57.89</v>
      </c>
      <c r="D326">
        <f>AVERAGE(C326:C425)</f>
        <v>52.552820000000004</v>
      </c>
      <c r="E326">
        <f>MIN(B326:B375)</f>
        <v>55.56</v>
      </c>
      <c r="F326">
        <f>MAX(B326:B375)</f>
        <v>61.36</v>
      </c>
      <c r="I326" t="str">
        <f t="shared" si="11"/>
        <v>Positive slope</v>
      </c>
      <c r="J326" t="str">
        <f t="shared" si="12"/>
        <v>Negative slope</v>
      </c>
    </row>
    <row r="327" spans="1:10" x14ac:dyDescent="0.2">
      <c r="A327" s="20">
        <v>42110</v>
      </c>
      <c r="B327">
        <v>56.69</v>
      </c>
      <c r="C327">
        <f>AVERAGE(B327:B346)</f>
        <v>58.102499999999999</v>
      </c>
      <c r="D327">
        <f>AVERAGE(C327:C426)</f>
        <v>52.428765000000006</v>
      </c>
      <c r="E327">
        <f>MIN(B327:B376)</f>
        <v>55.56</v>
      </c>
      <c r="F327">
        <f>MAX(B327:B376)</f>
        <v>61.36</v>
      </c>
      <c r="I327" t="str">
        <f t="shared" si="11"/>
        <v>Positive slope</v>
      </c>
      <c r="J327" t="str">
        <f t="shared" si="12"/>
        <v>Negative slope</v>
      </c>
    </row>
    <row r="328" spans="1:10" x14ac:dyDescent="0.2">
      <c r="A328" s="20">
        <v>42111</v>
      </c>
      <c r="B328">
        <v>55.71</v>
      </c>
      <c r="C328">
        <f>AVERAGE(B328:B347)</f>
        <v>58.262500000000003</v>
      </c>
      <c r="D328">
        <f>AVERAGE(C328:C427)</f>
        <v>52.301810000000003</v>
      </c>
      <c r="E328">
        <f>MIN(B328:B377)</f>
        <v>55.56</v>
      </c>
      <c r="F328">
        <f>MAX(B328:B377)</f>
        <v>61.36</v>
      </c>
      <c r="I328" t="str">
        <f t="shared" si="11"/>
        <v>Positive slope</v>
      </c>
      <c r="J328" t="str">
        <f t="shared" si="12"/>
        <v>Negative slope</v>
      </c>
    </row>
    <row r="329" spans="1:10" x14ac:dyDescent="0.2">
      <c r="A329" s="20">
        <v>42114</v>
      </c>
      <c r="B329">
        <v>56.37</v>
      </c>
      <c r="C329">
        <f>AVERAGE(B329:B348)</f>
        <v>58.46350000000001</v>
      </c>
      <c r="D329">
        <f>AVERAGE(C329:C428)</f>
        <v>52.172650000000004</v>
      </c>
      <c r="E329">
        <f>MIN(B329:B378)</f>
        <v>55.56</v>
      </c>
      <c r="F329">
        <f>MAX(B329:B378)</f>
        <v>61.36</v>
      </c>
      <c r="I329" t="str">
        <f t="shared" si="11"/>
        <v>Positive slope</v>
      </c>
      <c r="J329" t="str">
        <f t="shared" si="12"/>
        <v>Negative slope</v>
      </c>
    </row>
    <row r="330" spans="1:10" x14ac:dyDescent="0.2">
      <c r="A330" s="20">
        <v>42115</v>
      </c>
      <c r="B330">
        <v>55.58</v>
      </c>
      <c r="C330">
        <f>AVERAGE(B330:B349)</f>
        <v>58.617000000000004</v>
      </c>
      <c r="D330">
        <f>AVERAGE(C330:C429)</f>
        <v>52.041609999999991</v>
      </c>
      <c r="E330">
        <f>MIN(B330:B379)</f>
        <v>55.56</v>
      </c>
      <c r="F330">
        <f>MAX(B330:B379)</f>
        <v>61.36</v>
      </c>
      <c r="I330" t="str">
        <f t="shared" si="11"/>
        <v>Positive slope</v>
      </c>
      <c r="J330" t="str">
        <f t="shared" si="12"/>
        <v>Negative slope</v>
      </c>
    </row>
    <row r="331" spans="1:10" x14ac:dyDescent="0.2">
      <c r="A331" s="20">
        <v>42116</v>
      </c>
      <c r="B331">
        <v>56.17</v>
      </c>
      <c r="C331">
        <f>AVERAGE(B331:B350)</f>
        <v>58.702999999999996</v>
      </c>
      <c r="D331">
        <f>AVERAGE(C331:C430)</f>
        <v>51.910339999999998</v>
      </c>
      <c r="E331">
        <f>MIN(B331:B380)</f>
        <v>55.56</v>
      </c>
      <c r="F331">
        <f>MAX(B331:B380)</f>
        <v>61.36</v>
      </c>
      <c r="I331" t="str">
        <f t="shared" si="11"/>
        <v>Positive slope</v>
      </c>
      <c r="J331" t="str">
        <f t="shared" si="12"/>
        <v>Negative slope</v>
      </c>
    </row>
    <row r="332" spans="1:10" x14ac:dyDescent="0.2">
      <c r="A332" s="20">
        <v>42117</v>
      </c>
      <c r="B332">
        <v>56.59</v>
      </c>
      <c r="C332">
        <f>AVERAGE(B332:B351)</f>
        <v>58.842500000000008</v>
      </c>
      <c r="D332">
        <f>AVERAGE(C332:C431)</f>
        <v>51.780074999999997</v>
      </c>
      <c r="E332">
        <f>MIN(B332:B381)</f>
        <v>55.56</v>
      </c>
      <c r="F332">
        <f>MAX(B332:B381)</f>
        <v>61.36</v>
      </c>
      <c r="I332" t="str">
        <f t="shared" si="11"/>
        <v>Positive slope</v>
      </c>
      <c r="J332" t="str">
        <f t="shared" si="12"/>
        <v>Negative slope</v>
      </c>
    </row>
    <row r="333" spans="1:10" x14ac:dyDescent="0.2">
      <c r="A333" s="20">
        <v>42118</v>
      </c>
      <c r="B333">
        <v>55.98</v>
      </c>
      <c r="C333">
        <f>AVERAGE(B333:B352)</f>
        <v>59.022000000000006</v>
      </c>
      <c r="D333">
        <f>AVERAGE(C333:C432)</f>
        <v>51.650220000000012</v>
      </c>
      <c r="E333">
        <f>MIN(B333:B382)</f>
        <v>55.56</v>
      </c>
      <c r="F333">
        <f>MAX(B333:B382)</f>
        <v>61.36</v>
      </c>
      <c r="I333" t="str">
        <f t="shared" si="11"/>
        <v>Positive slope</v>
      </c>
      <c r="J333" t="str">
        <f t="shared" si="12"/>
        <v>Negative slope</v>
      </c>
    </row>
    <row r="334" spans="1:10" x14ac:dyDescent="0.2">
      <c r="A334" s="20">
        <v>42121</v>
      </c>
      <c r="B334">
        <v>55.56</v>
      </c>
      <c r="C334">
        <f>AVERAGE(B334:B353)</f>
        <v>59.167000000000009</v>
      </c>
      <c r="D334">
        <f>AVERAGE(C334:C433)</f>
        <v>51.52103000000001</v>
      </c>
      <c r="E334">
        <f>MIN(B334:B383)</f>
        <v>55.56</v>
      </c>
      <c r="F334">
        <f>MAX(B334:B383)</f>
        <v>61.36</v>
      </c>
      <c r="I334" t="str">
        <f t="shared" si="11"/>
        <v>Positive slope</v>
      </c>
      <c r="J334" t="str">
        <f t="shared" si="12"/>
        <v>Negative slope</v>
      </c>
    </row>
    <row r="335" spans="1:10" x14ac:dyDescent="0.2">
      <c r="A335" s="20">
        <v>42122</v>
      </c>
      <c r="B335">
        <v>57.05</v>
      </c>
      <c r="C335">
        <f>AVERAGE(B335:B354)</f>
        <v>59.333000000000013</v>
      </c>
      <c r="D335">
        <f>AVERAGE(C335:C434)</f>
        <v>51.391899999999993</v>
      </c>
      <c r="E335">
        <f>MIN(B335:B384)</f>
        <v>52.48</v>
      </c>
      <c r="F335">
        <f>MAX(B335:B384)</f>
        <v>61.36</v>
      </c>
      <c r="I335" t="str">
        <f t="shared" si="11"/>
        <v>Positive slope</v>
      </c>
      <c r="J335" t="str">
        <f t="shared" si="12"/>
        <v>Negative slope</v>
      </c>
    </row>
    <row r="336" spans="1:10" x14ac:dyDescent="0.2">
      <c r="A336" s="20">
        <v>42123</v>
      </c>
      <c r="B336">
        <v>58.55</v>
      </c>
      <c r="C336">
        <f>AVERAGE(B336:B355)</f>
        <v>59.345000000000006</v>
      </c>
      <c r="D336">
        <f>AVERAGE(C336:C435)</f>
        <v>51.262169999999998</v>
      </c>
      <c r="E336">
        <f>MIN(B336:B385)</f>
        <v>52.33</v>
      </c>
      <c r="F336">
        <f>MAX(B336:B385)</f>
        <v>61.36</v>
      </c>
      <c r="I336" t="str">
        <f t="shared" si="11"/>
        <v>Negative slope</v>
      </c>
      <c r="J336" t="str">
        <f t="shared" si="12"/>
        <v>Negative slope</v>
      </c>
    </row>
    <row r="337" spans="1:10" x14ac:dyDescent="0.2">
      <c r="A337" s="20">
        <v>42124</v>
      </c>
      <c r="B337">
        <v>59.62</v>
      </c>
      <c r="C337">
        <f>AVERAGE(B337:B356)</f>
        <v>59.293000000000006</v>
      </c>
      <c r="D337">
        <f>AVERAGE(C337:C436)</f>
        <v>51.132075000000007</v>
      </c>
      <c r="E337">
        <f>MIN(B337:B386)</f>
        <v>51.61</v>
      </c>
      <c r="F337">
        <f>MAX(B337:B386)</f>
        <v>61.36</v>
      </c>
      <c r="I337" t="str">
        <f t="shared" si="11"/>
        <v>Negative slope</v>
      </c>
      <c r="J337" t="str">
        <f t="shared" si="12"/>
        <v>Negative slope</v>
      </c>
    </row>
    <row r="338" spans="1:10" x14ac:dyDescent="0.2">
      <c r="A338" s="20">
        <v>42125</v>
      </c>
      <c r="B338">
        <v>59.1</v>
      </c>
      <c r="C338">
        <f>AVERAGE(B338:B357)</f>
        <v>59.1965</v>
      </c>
      <c r="D338">
        <f>AVERAGE(C338:C437)</f>
        <v>51.002224999999996</v>
      </c>
      <c r="E338">
        <f>MIN(B338:B387)</f>
        <v>51.61</v>
      </c>
      <c r="F338">
        <f>MAX(B338:B387)</f>
        <v>61.36</v>
      </c>
      <c r="I338" t="str">
        <f t="shared" si="11"/>
        <v>Positive slope</v>
      </c>
      <c r="J338" t="str">
        <f t="shared" si="12"/>
        <v>Negative slope</v>
      </c>
    </row>
    <row r="339" spans="1:10" x14ac:dyDescent="0.2">
      <c r="A339" s="20">
        <v>42128</v>
      </c>
      <c r="B339">
        <v>58.92</v>
      </c>
      <c r="C339">
        <f>AVERAGE(B339:B358)</f>
        <v>59.254000000000005</v>
      </c>
      <c r="D339">
        <f>AVERAGE(C339:C438)</f>
        <v>50.874634999999998</v>
      </c>
      <c r="E339">
        <f>MIN(B339:B388)</f>
        <v>51.61</v>
      </c>
      <c r="F339">
        <f>MAX(B339:B388)</f>
        <v>61.36</v>
      </c>
      <c r="I339" t="str">
        <f t="shared" si="11"/>
        <v>Positive slope</v>
      </c>
      <c r="J339" t="str">
        <f t="shared" si="12"/>
        <v>Negative slope</v>
      </c>
    </row>
    <row r="340" spans="1:10" x14ac:dyDescent="0.2">
      <c r="A340" s="20">
        <v>42129</v>
      </c>
      <c r="B340">
        <v>60.38</v>
      </c>
      <c r="C340">
        <f>AVERAGE(B340:B359)</f>
        <v>59.319999999999993</v>
      </c>
      <c r="D340">
        <f>AVERAGE(C340:C439)</f>
        <v>50.746090000000002</v>
      </c>
      <c r="E340">
        <f>MIN(B340:B389)</f>
        <v>51.61</v>
      </c>
      <c r="F340">
        <f>MAX(B340:B389)</f>
        <v>61.36</v>
      </c>
      <c r="I340" t="str">
        <f t="shared" si="11"/>
        <v>Positive slope</v>
      </c>
      <c r="J340" t="str">
        <f t="shared" si="12"/>
        <v>Negative slope</v>
      </c>
    </row>
    <row r="341" spans="1:10" x14ac:dyDescent="0.2">
      <c r="A341" s="20">
        <v>42130</v>
      </c>
      <c r="B341">
        <v>60.93</v>
      </c>
      <c r="C341">
        <f>AVERAGE(B341:B360)</f>
        <v>59.365999999999985</v>
      </c>
      <c r="D341">
        <f>AVERAGE(C341:C440)</f>
        <v>50.616720000000008</v>
      </c>
      <c r="E341">
        <f>MIN(B341:B390)</f>
        <v>51.61</v>
      </c>
      <c r="F341">
        <f>MAX(B341:B390)</f>
        <v>61.36</v>
      </c>
      <c r="I341" t="str">
        <f t="shared" si="11"/>
        <v>Negative slope</v>
      </c>
      <c r="J341" t="str">
        <f t="shared" si="12"/>
        <v>Negative slope</v>
      </c>
    </row>
    <row r="342" spans="1:10" x14ac:dyDescent="0.2">
      <c r="A342" s="20">
        <v>42131</v>
      </c>
      <c r="B342">
        <v>58.99</v>
      </c>
      <c r="C342">
        <f>AVERAGE(B342:B361)</f>
        <v>59.302999999999997</v>
      </c>
      <c r="D342">
        <f>AVERAGE(C342:C441)</f>
        <v>50.487235000000013</v>
      </c>
      <c r="E342">
        <f>MIN(B342:B391)</f>
        <v>51.4</v>
      </c>
      <c r="F342">
        <f>MAX(B342:B391)</f>
        <v>61.36</v>
      </c>
      <c r="I342" t="str">
        <f t="shared" si="11"/>
        <v>Negative slope</v>
      </c>
      <c r="J342" t="str">
        <f t="shared" si="12"/>
        <v>Negative slope</v>
      </c>
    </row>
    <row r="343" spans="1:10" x14ac:dyDescent="0.2">
      <c r="A343" s="20">
        <v>42132</v>
      </c>
      <c r="B343">
        <v>59.41</v>
      </c>
      <c r="C343">
        <f>AVERAGE(B343:B362)</f>
        <v>59.253499999999995</v>
      </c>
      <c r="D343">
        <f>AVERAGE(C343:C442)</f>
        <v>50.358360000000012</v>
      </c>
      <c r="E343">
        <f>MIN(B343:B392)</f>
        <v>50.9</v>
      </c>
      <c r="F343">
        <f>MAX(B343:B392)</f>
        <v>61.36</v>
      </c>
      <c r="I343" t="str">
        <f t="shared" si="11"/>
        <v>Negative slope</v>
      </c>
      <c r="J343" t="str">
        <f t="shared" si="12"/>
        <v>Negative slope</v>
      </c>
    </row>
    <row r="344" spans="1:10" x14ac:dyDescent="0.2">
      <c r="A344" s="20">
        <v>42135</v>
      </c>
      <c r="B344">
        <v>59.23</v>
      </c>
      <c r="C344">
        <f>AVERAGE(B344:B363)</f>
        <v>59.238499999999988</v>
      </c>
      <c r="D344">
        <f>AVERAGE(C344:C443)</f>
        <v>50.22916</v>
      </c>
      <c r="E344">
        <f>MIN(B344:B393)</f>
        <v>50.88</v>
      </c>
      <c r="F344">
        <f>MAX(B344:B393)</f>
        <v>61.36</v>
      </c>
      <c r="I344" t="str">
        <f t="shared" si="11"/>
        <v>Negative slope</v>
      </c>
      <c r="J344" t="str">
        <f t="shared" si="12"/>
        <v>Negative slope</v>
      </c>
    </row>
    <row r="345" spans="1:10" x14ac:dyDescent="0.2">
      <c r="A345" s="20">
        <v>42136</v>
      </c>
      <c r="B345">
        <v>60.72</v>
      </c>
      <c r="C345">
        <f>AVERAGE(B345:B364)</f>
        <v>59.184499999999993</v>
      </c>
      <c r="D345">
        <f>AVERAGE(C345:C444)</f>
        <v>50.099504999999994</v>
      </c>
      <c r="E345">
        <f>MIN(B345:B394)</f>
        <v>50.11</v>
      </c>
      <c r="F345">
        <f>MAX(B345:B394)</f>
        <v>61.36</v>
      </c>
      <c r="I345" t="str">
        <f t="shared" si="11"/>
        <v>Negative slope</v>
      </c>
      <c r="J345" t="str">
        <f t="shared" si="12"/>
        <v>Negative slope</v>
      </c>
    </row>
    <row r="346" spans="1:10" x14ac:dyDescent="0.2">
      <c r="A346" s="20">
        <v>42137</v>
      </c>
      <c r="B346">
        <v>60.5</v>
      </c>
      <c r="C346">
        <f>AVERAGE(B346:B365)</f>
        <v>59.156000000000006</v>
      </c>
      <c r="D346">
        <f>AVERAGE(C346:C445)</f>
        <v>49.969374999999999</v>
      </c>
      <c r="E346">
        <f>MIN(B346:B395)</f>
        <v>50.11</v>
      </c>
      <c r="F346">
        <f>MAX(B346:B395)</f>
        <v>61.36</v>
      </c>
      <c r="I346" t="str">
        <f t="shared" si="11"/>
        <v>Positive slope</v>
      </c>
      <c r="J346" t="str">
        <f t="shared" si="12"/>
        <v>Negative slope</v>
      </c>
    </row>
    <row r="347" spans="1:10" x14ac:dyDescent="0.2">
      <c r="A347" s="20">
        <v>42138</v>
      </c>
      <c r="B347">
        <v>59.89</v>
      </c>
      <c r="C347">
        <f>AVERAGE(B347:B366)</f>
        <v>59.198999999999998</v>
      </c>
      <c r="D347">
        <f>AVERAGE(C347:C446)</f>
        <v>49.839964999999992</v>
      </c>
      <c r="E347">
        <f>MIN(B347:B396)</f>
        <v>49.27</v>
      </c>
      <c r="F347">
        <f>MAX(B347:B396)</f>
        <v>61.36</v>
      </c>
      <c r="I347" t="str">
        <f t="shared" si="11"/>
        <v>Positive slope</v>
      </c>
      <c r="J347" t="str">
        <f t="shared" si="12"/>
        <v>Negative slope</v>
      </c>
    </row>
    <row r="348" spans="1:10" x14ac:dyDescent="0.2">
      <c r="A348" s="20">
        <v>42139</v>
      </c>
      <c r="B348">
        <v>59.73</v>
      </c>
      <c r="C348">
        <f>AVERAGE(B348:B367)</f>
        <v>59.241499999999988</v>
      </c>
      <c r="D348">
        <f>AVERAGE(C348:C447)</f>
        <v>49.710760000000008</v>
      </c>
      <c r="E348">
        <f>MIN(B348:B397)</f>
        <v>48.11</v>
      </c>
      <c r="F348">
        <f>MAX(B348:B397)</f>
        <v>61.36</v>
      </c>
      <c r="I348" t="str">
        <f t="shared" si="11"/>
        <v>Positive slope</v>
      </c>
      <c r="J348" t="str">
        <f t="shared" si="12"/>
        <v>Negative slope</v>
      </c>
    </row>
    <row r="349" spans="1:10" x14ac:dyDescent="0.2">
      <c r="A349" s="20">
        <v>42142</v>
      </c>
      <c r="B349">
        <v>59.44</v>
      </c>
      <c r="C349">
        <f>AVERAGE(B349:B368)</f>
        <v>59.253</v>
      </c>
      <c r="D349">
        <f>AVERAGE(C349:C448)</f>
        <v>49.581660000000014</v>
      </c>
      <c r="E349">
        <f>MIN(B349:B398)</f>
        <v>47.98</v>
      </c>
      <c r="F349">
        <f>MAX(B349:B398)</f>
        <v>61.36</v>
      </c>
      <c r="I349" t="str">
        <f t="shared" si="11"/>
        <v>Positive slope</v>
      </c>
      <c r="J349" t="str">
        <f t="shared" si="12"/>
        <v>Negative slope</v>
      </c>
    </row>
    <row r="350" spans="1:10" x14ac:dyDescent="0.2">
      <c r="A350" s="20">
        <v>42143</v>
      </c>
      <c r="B350">
        <v>57.3</v>
      </c>
      <c r="C350">
        <f>AVERAGE(B350:B369)</f>
        <v>59.257499999999993</v>
      </c>
      <c r="D350">
        <f>AVERAGE(C350:C449)</f>
        <v>49.452365000000007</v>
      </c>
      <c r="E350">
        <f>MIN(B350:B399)</f>
        <v>47.17</v>
      </c>
      <c r="F350">
        <f>MAX(B350:B399)</f>
        <v>61.36</v>
      </c>
      <c r="I350" t="str">
        <f t="shared" si="11"/>
        <v>Positive slope</v>
      </c>
      <c r="J350" t="str">
        <f t="shared" si="12"/>
        <v>Negative slope</v>
      </c>
    </row>
    <row r="351" spans="1:10" x14ac:dyDescent="0.2">
      <c r="A351" s="20">
        <v>42144</v>
      </c>
      <c r="B351">
        <v>58.96</v>
      </c>
      <c r="C351">
        <f>AVERAGE(B351:B370)</f>
        <v>59.392999999999994</v>
      </c>
      <c r="D351">
        <f>AVERAGE(C351:C450)</f>
        <v>49.322700000000026</v>
      </c>
      <c r="E351">
        <f>MIN(B351:B400)</f>
        <v>47.17</v>
      </c>
      <c r="F351">
        <f>MAX(B351:B400)</f>
        <v>61.36</v>
      </c>
      <c r="I351" t="str">
        <f t="shared" si="11"/>
        <v>Positive slope</v>
      </c>
      <c r="J351" t="str">
        <f t="shared" si="12"/>
        <v>Negative slope</v>
      </c>
    </row>
    <row r="352" spans="1:10" x14ac:dyDescent="0.2">
      <c r="A352" s="20">
        <v>42145</v>
      </c>
      <c r="B352">
        <v>60.18</v>
      </c>
      <c r="C352">
        <f>AVERAGE(B352:B371)</f>
        <v>59.43950000000001</v>
      </c>
      <c r="D352">
        <f>AVERAGE(C352:C451)</f>
        <v>49.190910000000024</v>
      </c>
      <c r="E352">
        <f>MIN(B352:B401)</f>
        <v>47.17</v>
      </c>
      <c r="F352">
        <f>MAX(B352:B401)</f>
        <v>61.36</v>
      </c>
      <c r="I352" t="str">
        <f t="shared" si="11"/>
        <v>Positive slope</v>
      </c>
      <c r="J352" t="str">
        <f t="shared" si="12"/>
        <v>Negative slope</v>
      </c>
    </row>
    <row r="353" spans="1:10" x14ac:dyDescent="0.2">
      <c r="A353" s="20">
        <v>42146</v>
      </c>
      <c r="B353">
        <v>58.88</v>
      </c>
      <c r="C353">
        <f>AVERAGE(B353:B372)</f>
        <v>59.451000000000008</v>
      </c>
      <c r="D353">
        <f>AVERAGE(C353:C452)</f>
        <v>49.056560000000019</v>
      </c>
      <c r="E353">
        <f>MIN(B353:B402)</f>
        <v>47.17</v>
      </c>
      <c r="F353">
        <f>MAX(B353:B402)</f>
        <v>61.36</v>
      </c>
      <c r="I353" t="str">
        <f t="shared" si="11"/>
        <v>Positive slope</v>
      </c>
      <c r="J353" t="str">
        <f t="shared" si="12"/>
        <v>Negative slope</v>
      </c>
    </row>
    <row r="354" spans="1:10" x14ac:dyDescent="0.2">
      <c r="A354" s="20">
        <v>42149</v>
      </c>
      <c r="B354">
        <v>58.88</v>
      </c>
      <c r="C354">
        <f>AVERAGE(B354:B373)</f>
        <v>59.488</v>
      </c>
      <c r="D354">
        <f>AVERAGE(C354:C453)</f>
        <v>48.919420000000017</v>
      </c>
      <c r="E354">
        <f>MIN(B354:B403)</f>
        <v>47.11</v>
      </c>
      <c r="F354">
        <f>MAX(B354:B403)</f>
        <v>61.36</v>
      </c>
      <c r="I354" t="str">
        <f t="shared" si="11"/>
        <v>Positive slope</v>
      </c>
      <c r="J354" t="str">
        <f t="shared" si="12"/>
        <v>Negative slope</v>
      </c>
    </row>
    <row r="355" spans="1:10" x14ac:dyDescent="0.2">
      <c r="A355" s="20">
        <v>42150</v>
      </c>
      <c r="B355">
        <v>57.29</v>
      </c>
      <c r="C355">
        <f>AVERAGE(B355:B374)</f>
        <v>59.544499999999992</v>
      </c>
      <c r="D355">
        <f>AVERAGE(C355:C454)</f>
        <v>48.780300000000018</v>
      </c>
      <c r="E355">
        <f>MIN(B355:B404)</f>
        <v>45.25</v>
      </c>
      <c r="F355">
        <f>MAX(B355:B404)</f>
        <v>61.36</v>
      </c>
      <c r="I355" t="str">
        <f t="shared" si="11"/>
        <v>Positive slope</v>
      </c>
      <c r="J355" t="str">
        <f t="shared" si="12"/>
        <v>Negative slope</v>
      </c>
    </row>
    <row r="356" spans="1:10" x14ac:dyDescent="0.2">
      <c r="A356" s="20">
        <v>42151</v>
      </c>
      <c r="B356">
        <v>57.51</v>
      </c>
      <c r="C356">
        <f>AVERAGE(B356:B375)</f>
        <v>59.732499999999995</v>
      </c>
      <c r="D356">
        <f>AVERAGE(C356:C455)</f>
        <v>48.639380000000017</v>
      </c>
      <c r="E356">
        <f>MIN(B356:B405)</f>
        <v>45.25</v>
      </c>
      <c r="F356">
        <f>MAX(B356:B405)</f>
        <v>61.36</v>
      </c>
      <c r="I356" t="str">
        <f t="shared" si="11"/>
        <v>Positive slope</v>
      </c>
      <c r="J356" t="str">
        <f t="shared" si="12"/>
        <v>Negative slope</v>
      </c>
    </row>
    <row r="357" spans="1:10" x14ac:dyDescent="0.2">
      <c r="A357" s="20">
        <v>42152</v>
      </c>
      <c r="B357">
        <v>57.69</v>
      </c>
      <c r="C357">
        <f>AVERAGE(B357:B376)</f>
        <v>59.857500000000002</v>
      </c>
      <c r="D357">
        <f>AVERAGE(C357:C456)</f>
        <v>48.494740000000029</v>
      </c>
      <c r="E357">
        <f>MIN(B357:B406)</f>
        <v>45.13</v>
      </c>
      <c r="F357">
        <f>MAX(B357:B406)</f>
        <v>61.36</v>
      </c>
      <c r="I357" t="str">
        <f t="shared" si="11"/>
        <v>Positive slope</v>
      </c>
      <c r="J357" t="str">
        <f t="shared" si="12"/>
        <v>Negative slope</v>
      </c>
    </row>
    <row r="358" spans="1:10" x14ac:dyDescent="0.2">
      <c r="A358" s="20">
        <v>42153</v>
      </c>
      <c r="B358">
        <v>60.25</v>
      </c>
      <c r="C358">
        <f>AVERAGE(B358:B377)</f>
        <v>59.952500000000001</v>
      </c>
      <c r="D358">
        <f>AVERAGE(C358:C457)</f>
        <v>48.34653000000003</v>
      </c>
      <c r="E358">
        <f>MIN(B358:B407)</f>
        <v>44.69</v>
      </c>
      <c r="F358">
        <f>MAX(B358:B407)</f>
        <v>61.36</v>
      </c>
      <c r="I358" t="str">
        <f t="shared" si="11"/>
        <v>Negative slope</v>
      </c>
      <c r="J358" t="str">
        <f t="shared" si="12"/>
        <v>Negative slope</v>
      </c>
    </row>
    <row r="359" spans="1:10" x14ac:dyDescent="0.2">
      <c r="A359" s="20">
        <v>42156</v>
      </c>
      <c r="B359">
        <v>60.24</v>
      </c>
      <c r="C359">
        <f>AVERAGE(B359:B378)</f>
        <v>59.910499999999992</v>
      </c>
      <c r="D359">
        <f>AVERAGE(C359:C458)</f>
        <v>48.194065000000037</v>
      </c>
      <c r="E359">
        <f>MIN(B359:B408)</f>
        <v>43.87</v>
      </c>
      <c r="F359">
        <f>MAX(B359:B408)</f>
        <v>61.36</v>
      </c>
      <c r="I359" t="str">
        <f t="shared" si="11"/>
        <v>Negative slope</v>
      </c>
      <c r="J359" t="str">
        <f t="shared" si="12"/>
        <v>Negative slope</v>
      </c>
    </row>
    <row r="360" spans="1:10" x14ac:dyDescent="0.2">
      <c r="A360" s="20">
        <v>42157</v>
      </c>
      <c r="B360">
        <v>61.3</v>
      </c>
      <c r="C360">
        <f>AVERAGE(B360:B379)</f>
        <v>59.815499999999986</v>
      </c>
      <c r="D360">
        <f>AVERAGE(C360:C459)</f>
        <v>48.039905000000026</v>
      </c>
      <c r="E360">
        <f>MIN(B360:B409)</f>
        <v>43.87</v>
      </c>
      <c r="F360">
        <f>MAX(B360:B409)</f>
        <v>61.36</v>
      </c>
      <c r="I360" t="str">
        <f t="shared" si="11"/>
        <v>Negative slope</v>
      </c>
      <c r="J360" t="str">
        <f t="shared" si="12"/>
        <v>Negative slope</v>
      </c>
    </row>
    <row r="361" spans="1:10" x14ac:dyDescent="0.2">
      <c r="A361" s="20">
        <v>42158</v>
      </c>
      <c r="B361">
        <v>59.67</v>
      </c>
      <c r="C361">
        <f>AVERAGE(B361:B380)</f>
        <v>59.724499999999992</v>
      </c>
      <c r="D361">
        <f>AVERAGE(C361:C460)</f>
        <v>47.884140000000016</v>
      </c>
      <c r="E361">
        <f>MIN(B361:B410)</f>
        <v>43.11</v>
      </c>
      <c r="F361">
        <f>MAX(B361:B410)</f>
        <v>61.36</v>
      </c>
      <c r="I361" t="str">
        <f t="shared" si="11"/>
        <v>Negative slope</v>
      </c>
      <c r="J361" t="str">
        <f t="shared" si="12"/>
        <v>Negative slope</v>
      </c>
    </row>
    <row r="362" spans="1:10" x14ac:dyDescent="0.2">
      <c r="A362" s="20">
        <v>42159</v>
      </c>
      <c r="B362">
        <v>58</v>
      </c>
      <c r="C362">
        <f>AVERAGE(B362:B381)</f>
        <v>59.588000000000001</v>
      </c>
      <c r="D362">
        <f>AVERAGE(C362:C461)</f>
        <v>47.72705000000002</v>
      </c>
      <c r="E362">
        <f>MIN(B362:B411)</f>
        <v>43.11</v>
      </c>
      <c r="F362">
        <f>MAX(B362:B411)</f>
        <v>61.36</v>
      </c>
      <c r="I362" t="str">
        <f t="shared" si="11"/>
        <v>Negative slope</v>
      </c>
      <c r="J362" t="str">
        <f t="shared" si="12"/>
        <v>Negative slope</v>
      </c>
    </row>
    <row r="363" spans="1:10" x14ac:dyDescent="0.2">
      <c r="A363" s="20">
        <v>42160</v>
      </c>
      <c r="B363">
        <v>59.11</v>
      </c>
      <c r="C363">
        <f>AVERAGE(B363:B382)</f>
        <v>59.534500000000001</v>
      </c>
      <c r="D363">
        <f>AVERAGE(C363:C462)</f>
        <v>47.569150000000008</v>
      </c>
      <c r="E363">
        <f>MIN(B363:B412)</f>
        <v>42.27</v>
      </c>
      <c r="F363">
        <f>MAX(B363:B412)</f>
        <v>61.36</v>
      </c>
      <c r="I363" t="str">
        <f t="shared" si="11"/>
        <v>Negative slope</v>
      </c>
      <c r="J363" t="str">
        <f t="shared" si="12"/>
        <v>Negative slope</v>
      </c>
    </row>
    <row r="364" spans="1:10" x14ac:dyDescent="0.2">
      <c r="A364" s="20">
        <v>42163</v>
      </c>
      <c r="B364">
        <v>58.15</v>
      </c>
      <c r="C364">
        <f>AVERAGE(B364:B383)</f>
        <v>59.4255</v>
      </c>
      <c r="D364">
        <f>AVERAGE(C364:C463)</f>
        <v>47.409525000000009</v>
      </c>
      <c r="E364">
        <f>MIN(B364:B413)</f>
        <v>42.27</v>
      </c>
      <c r="F364">
        <f>MAX(B364:B413)</f>
        <v>61.36</v>
      </c>
      <c r="I364" t="str">
        <f t="shared" si="11"/>
        <v>Negative slope</v>
      </c>
      <c r="J364" t="str">
        <f t="shared" si="12"/>
        <v>Negative slope</v>
      </c>
    </row>
    <row r="365" spans="1:10" x14ac:dyDescent="0.2">
      <c r="A365" s="20">
        <v>42164</v>
      </c>
      <c r="B365">
        <v>60.15</v>
      </c>
      <c r="C365">
        <f>AVERAGE(B365:B384)</f>
        <v>59.14200000000001</v>
      </c>
      <c r="D365">
        <f>AVERAGE(C365:C464)</f>
        <v>47.249030000000005</v>
      </c>
      <c r="E365">
        <f>MIN(B365:B414)</f>
        <v>41.93</v>
      </c>
      <c r="F365">
        <f>MAX(B365:B414)</f>
        <v>61.36</v>
      </c>
      <c r="I365" t="str">
        <f t="shared" si="11"/>
        <v>Negative slope</v>
      </c>
      <c r="J365" t="str">
        <f t="shared" si="12"/>
        <v>Negative slope</v>
      </c>
    </row>
    <row r="366" spans="1:10" x14ac:dyDescent="0.2">
      <c r="A366" s="20">
        <v>42165</v>
      </c>
      <c r="B366">
        <v>61.36</v>
      </c>
      <c r="C366">
        <f>AVERAGE(B366:B385)</f>
        <v>58.750999999999991</v>
      </c>
      <c r="D366">
        <f>AVERAGE(C366:C465)</f>
        <v>47.090210000000006</v>
      </c>
      <c r="E366">
        <f>MIN(B366:B415)</f>
        <v>41.93</v>
      </c>
      <c r="F366">
        <f>MAX(B366:B415)</f>
        <v>61.36</v>
      </c>
      <c r="I366" t="str">
        <f t="shared" si="11"/>
        <v>Negative slope</v>
      </c>
      <c r="J366" t="str">
        <f t="shared" si="12"/>
        <v>Negative slope</v>
      </c>
    </row>
    <row r="367" spans="1:10" x14ac:dyDescent="0.2">
      <c r="A367" s="20">
        <v>42166</v>
      </c>
      <c r="B367">
        <v>60.74</v>
      </c>
      <c r="C367">
        <f>AVERAGE(B367:B386)</f>
        <v>58.263499999999986</v>
      </c>
      <c r="D367">
        <f>AVERAGE(C367:C466)</f>
        <v>46.932945000000011</v>
      </c>
      <c r="E367">
        <f>MIN(B367:B416)</f>
        <v>40.75</v>
      </c>
      <c r="F367">
        <f>MAX(B367:B416)</f>
        <v>61.05</v>
      </c>
      <c r="I367" t="str">
        <f t="shared" si="11"/>
        <v>Negative slope</v>
      </c>
      <c r="J367" t="str">
        <f t="shared" si="12"/>
        <v>Negative slope</v>
      </c>
    </row>
    <row r="368" spans="1:10" x14ac:dyDescent="0.2">
      <c r="A368" s="20">
        <v>42167</v>
      </c>
      <c r="B368">
        <v>59.96</v>
      </c>
      <c r="C368">
        <f>AVERAGE(B368:B387)</f>
        <v>57.864499999999985</v>
      </c>
      <c r="D368">
        <f>AVERAGE(C368:C467)</f>
        <v>46.778155000000005</v>
      </c>
      <c r="E368">
        <f>MIN(B368:B417)</f>
        <v>40.75</v>
      </c>
      <c r="F368">
        <f>MAX(B368:B417)</f>
        <v>61.05</v>
      </c>
      <c r="I368" t="str">
        <f t="shared" si="11"/>
        <v>Negative slope</v>
      </c>
      <c r="J368" t="str">
        <f t="shared" si="12"/>
        <v>Negative slope</v>
      </c>
    </row>
    <row r="369" spans="1:10" x14ac:dyDescent="0.2">
      <c r="A369" s="20">
        <v>42170</v>
      </c>
      <c r="B369">
        <v>59.53</v>
      </c>
      <c r="C369">
        <f>AVERAGE(B369:B388)</f>
        <v>57.503499999999995</v>
      </c>
      <c r="D369">
        <f>AVERAGE(C369:C468)</f>
        <v>46.624340000000004</v>
      </c>
      <c r="E369">
        <f>MIN(B369:B418)</f>
        <v>40.450000000000003</v>
      </c>
      <c r="F369">
        <f>MAX(B369:B418)</f>
        <v>61.05</v>
      </c>
      <c r="I369" t="str">
        <f t="shared" si="11"/>
        <v>Negative slope</v>
      </c>
      <c r="J369" t="str">
        <f t="shared" si="12"/>
        <v>Negative slope</v>
      </c>
    </row>
    <row r="370" spans="1:10" x14ac:dyDescent="0.2">
      <c r="A370" s="20">
        <v>42171</v>
      </c>
      <c r="B370">
        <v>60.01</v>
      </c>
      <c r="C370">
        <f>AVERAGE(B370:B389)</f>
        <v>57.136499999999998</v>
      </c>
      <c r="D370">
        <f>AVERAGE(C370:C469)</f>
        <v>46.47129000000001</v>
      </c>
      <c r="E370">
        <f>MIN(B370:B419)</f>
        <v>38.22</v>
      </c>
      <c r="F370">
        <f>MAX(B370:B419)</f>
        <v>61.05</v>
      </c>
      <c r="I370" t="str">
        <f t="shared" si="11"/>
        <v>Negative slope</v>
      </c>
      <c r="J370" t="str">
        <f t="shared" si="12"/>
        <v>Negative slope</v>
      </c>
    </row>
    <row r="371" spans="1:10" x14ac:dyDescent="0.2">
      <c r="A371" s="20">
        <v>42172</v>
      </c>
      <c r="B371">
        <v>59.89</v>
      </c>
      <c r="C371">
        <f>AVERAGE(B371:B390)</f>
        <v>56.788499999999999</v>
      </c>
      <c r="D371">
        <f>AVERAGE(C371:C470)</f>
        <v>46.318260000000009</v>
      </c>
      <c r="E371">
        <f>MIN(B371:B420)</f>
        <v>38.22</v>
      </c>
      <c r="F371">
        <f>MAX(B371:B420)</f>
        <v>61.05</v>
      </c>
      <c r="I371" t="str">
        <f t="shared" si="11"/>
        <v>Negative slope</v>
      </c>
      <c r="J371" t="str">
        <f t="shared" si="12"/>
        <v>Negative slope</v>
      </c>
    </row>
    <row r="372" spans="1:10" x14ac:dyDescent="0.2">
      <c r="A372" s="20">
        <v>42173</v>
      </c>
      <c r="B372">
        <v>60.41</v>
      </c>
      <c r="C372">
        <f>AVERAGE(B372:B391)</f>
        <v>56.363999999999997</v>
      </c>
      <c r="D372">
        <f>AVERAGE(C372:C471)</f>
        <v>46.165515000000013</v>
      </c>
      <c r="E372">
        <f>MIN(B372:B421)</f>
        <v>38.22</v>
      </c>
      <c r="F372">
        <f>MAX(B372:B421)</f>
        <v>61.05</v>
      </c>
      <c r="I372" t="str">
        <f t="shared" si="11"/>
        <v>Negative slope</v>
      </c>
      <c r="J372" t="str">
        <f t="shared" si="12"/>
        <v>Negative slope</v>
      </c>
    </row>
    <row r="373" spans="1:10" x14ac:dyDescent="0.2">
      <c r="A373" s="20">
        <v>42174</v>
      </c>
      <c r="B373">
        <v>59.62</v>
      </c>
      <c r="C373">
        <f>AVERAGE(B373:B392)</f>
        <v>55.888500000000008</v>
      </c>
      <c r="D373">
        <f>AVERAGE(C373:C472)</f>
        <v>46.014920000000011</v>
      </c>
      <c r="E373">
        <f>MIN(B373:B422)</f>
        <v>38.22</v>
      </c>
      <c r="F373">
        <f>MAX(B373:B422)</f>
        <v>61.05</v>
      </c>
      <c r="I373" t="str">
        <f t="shared" si="11"/>
        <v>Negative slope</v>
      </c>
      <c r="J373" t="str">
        <f t="shared" si="12"/>
        <v>Negative slope</v>
      </c>
    </row>
    <row r="374" spans="1:10" x14ac:dyDescent="0.2">
      <c r="A374" s="20">
        <v>42177</v>
      </c>
      <c r="B374">
        <v>60.01</v>
      </c>
      <c r="C374">
        <f>AVERAGE(B374:B393)</f>
        <v>55.451499999999996</v>
      </c>
      <c r="D374">
        <f>AVERAGE(C374:C473)</f>
        <v>45.866920000000007</v>
      </c>
      <c r="E374">
        <f>MIN(B374:B423)</f>
        <v>38.22</v>
      </c>
      <c r="F374">
        <f>MAX(B374:B423)</f>
        <v>61.05</v>
      </c>
      <c r="I374" t="str">
        <f t="shared" si="11"/>
        <v>Negative slope</v>
      </c>
      <c r="J374" t="str">
        <f t="shared" si="12"/>
        <v>Negative slope</v>
      </c>
    </row>
    <row r="375" spans="1:10" x14ac:dyDescent="0.2">
      <c r="A375" s="20">
        <v>42178</v>
      </c>
      <c r="B375">
        <v>61.05</v>
      </c>
      <c r="C375">
        <f>AVERAGE(B375:B394)</f>
        <v>54.956499999999991</v>
      </c>
      <c r="D375">
        <f>AVERAGE(C375:C474)</f>
        <v>45.720175000000012</v>
      </c>
      <c r="E375">
        <f>MIN(B375:B424)</f>
        <v>38.22</v>
      </c>
      <c r="F375">
        <f>MAX(B375:B424)</f>
        <v>61.05</v>
      </c>
      <c r="I375" t="str">
        <f t="shared" si="11"/>
        <v>Negative slope</v>
      </c>
      <c r="J375" t="str">
        <f t="shared" si="12"/>
        <v>Negative slope</v>
      </c>
    </row>
    <row r="376" spans="1:10" x14ac:dyDescent="0.2">
      <c r="A376" s="20">
        <v>42179</v>
      </c>
      <c r="B376">
        <v>60.01</v>
      </c>
      <c r="C376">
        <f>AVERAGE(B376:B395)</f>
        <v>54.433499999999995</v>
      </c>
      <c r="D376">
        <f>AVERAGE(C376:C475)</f>
        <v>45.574995000000008</v>
      </c>
      <c r="E376">
        <f>MIN(B376:B425)</f>
        <v>38.22</v>
      </c>
      <c r="F376">
        <f>MAX(B376:B425)</f>
        <v>60.01</v>
      </c>
      <c r="I376" t="str">
        <f t="shared" si="11"/>
        <v>Negative slope</v>
      </c>
      <c r="J376" t="str">
        <f t="shared" si="12"/>
        <v>Negative slope</v>
      </c>
    </row>
    <row r="377" spans="1:10" x14ac:dyDescent="0.2">
      <c r="A377" s="20">
        <v>42180</v>
      </c>
      <c r="B377">
        <v>59.59</v>
      </c>
      <c r="C377">
        <f>AVERAGE(B377:B396)</f>
        <v>53.896499999999989</v>
      </c>
      <c r="D377">
        <f>AVERAGE(C377:C476)</f>
        <v>45.432150000000007</v>
      </c>
      <c r="E377">
        <f>MIN(B377:B426)</f>
        <v>38.22</v>
      </c>
      <c r="F377">
        <f>MAX(B377:B426)</f>
        <v>59.59</v>
      </c>
      <c r="I377" t="str">
        <f t="shared" si="11"/>
        <v>Negative slope</v>
      </c>
      <c r="J377" t="str">
        <f t="shared" si="12"/>
        <v>Negative slope</v>
      </c>
    </row>
    <row r="378" spans="1:10" x14ac:dyDescent="0.2">
      <c r="A378" s="20">
        <v>42181</v>
      </c>
      <c r="B378">
        <v>59.41</v>
      </c>
      <c r="C378">
        <f>AVERAGE(B378:B397)</f>
        <v>53.322500000000005</v>
      </c>
      <c r="D378">
        <f>AVERAGE(C378:C477)</f>
        <v>45.292185000000018</v>
      </c>
      <c r="E378">
        <f>MIN(B378:B427)</f>
        <v>38.22</v>
      </c>
      <c r="F378">
        <f>MAX(B378:B427)</f>
        <v>59.48</v>
      </c>
      <c r="I378" t="str">
        <f t="shared" si="11"/>
        <v>Negative slope</v>
      </c>
      <c r="J378" t="str">
        <f t="shared" si="12"/>
        <v>Negative slope</v>
      </c>
    </row>
    <row r="379" spans="1:10" x14ac:dyDescent="0.2">
      <c r="A379" s="20">
        <v>42184</v>
      </c>
      <c r="B379">
        <v>58.34</v>
      </c>
      <c r="C379">
        <f>AVERAGE(B379:B398)</f>
        <v>52.750999999999998</v>
      </c>
      <c r="D379">
        <f>AVERAGE(C379:C478)</f>
        <v>45.15544000000002</v>
      </c>
      <c r="E379">
        <f>MIN(B379:B428)</f>
        <v>38.22</v>
      </c>
      <c r="F379">
        <f>MAX(B379:B428)</f>
        <v>59.48</v>
      </c>
      <c r="I379" t="str">
        <f t="shared" si="11"/>
        <v>Negative slope</v>
      </c>
      <c r="J379" t="str">
        <f t="shared" si="12"/>
        <v>Negative slope</v>
      </c>
    </row>
    <row r="380" spans="1:10" x14ac:dyDescent="0.2">
      <c r="A380" s="20">
        <v>42185</v>
      </c>
      <c r="B380">
        <v>59.48</v>
      </c>
      <c r="C380">
        <f>AVERAGE(B380:B399)</f>
        <v>52.192499999999995</v>
      </c>
      <c r="D380">
        <f>AVERAGE(C380:C479)</f>
        <v>45.021725000000018</v>
      </c>
      <c r="E380">
        <f>MIN(B380:B429)</f>
        <v>38.22</v>
      </c>
      <c r="F380">
        <f>MAX(B380:B429)</f>
        <v>59.48</v>
      </c>
      <c r="I380" t="str">
        <f t="shared" si="11"/>
        <v>Negative slope</v>
      </c>
      <c r="J380" t="str">
        <f t="shared" si="12"/>
        <v>Negative slope</v>
      </c>
    </row>
    <row r="381" spans="1:10" x14ac:dyDescent="0.2">
      <c r="A381" s="20">
        <v>42186</v>
      </c>
      <c r="B381">
        <v>56.94</v>
      </c>
      <c r="C381">
        <f>AVERAGE(B381:B400)</f>
        <v>51.616999999999997</v>
      </c>
      <c r="D381">
        <f>AVERAGE(C381:C480)</f>
        <v>44.891890000000011</v>
      </c>
      <c r="E381">
        <f>MIN(B381:B430)</f>
        <v>38.22</v>
      </c>
      <c r="F381">
        <f>MAX(B381:B430)</f>
        <v>56.94</v>
      </c>
      <c r="I381" t="str">
        <f t="shared" si="11"/>
        <v>Negative slope</v>
      </c>
      <c r="J381" t="str">
        <f t="shared" si="12"/>
        <v>Negative slope</v>
      </c>
    </row>
    <row r="382" spans="1:10" x14ac:dyDescent="0.2">
      <c r="A382" s="20">
        <v>42187</v>
      </c>
      <c r="B382">
        <v>56.93</v>
      </c>
      <c r="C382">
        <f>AVERAGE(B382:B401)</f>
        <v>51.208500000000001</v>
      </c>
      <c r="D382">
        <f>AVERAGE(C382:C481)</f>
        <v>44.765210000000003</v>
      </c>
      <c r="E382">
        <f>MIN(B382:B431)</f>
        <v>38.22</v>
      </c>
      <c r="F382">
        <f>MAX(B382:B431)</f>
        <v>56.93</v>
      </c>
      <c r="I382" t="str">
        <f t="shared" si="11"/>
        <v>Negative slope</v>
      </c>
      <c r="J382" t="str">
        <f t="shared" si="12"/>
        <v>Negative slope</v>
      </c>
    </row>
    <row r="383" spans="1:10" x14ac:dyDescent="0.2">
      <c r="A383" s="20">
        <v>42188</v>
      </c>
      <c r="B383">
        <v>56.93</v>
      </c>
      <c r="C383">
        <f>AVERAGE(B383:B402)</f>
        <v>50.788499999999999</v>
      </c>
      <c r="D383">
        <f>AVERAGE(C383:C482)</f>
        <v>44.639830000000011</v>
      </c>
      <c r="E383">
        <f>MIN(B383:B432)</f>
        <v>38.22</v>
      </c>
      <c r="F383">
        <f>MAX(B383:B432)</f>
        <v>56.93</v>
      </c>
      <c r="I383" t="str">
        <f t="shared" si="11"/>
        <v>Negative slope</v>
      </c>
      <c r="J383" t="str">
        <f t="shared" si="12"/>
        <v>Negative slope</v>
      </c>
    </row>
    <row r="384" spans="1:10" x14ac:dyDescent="0.2">
      <c r="A384" s="20">
        <v>42191</v>
      </c>
      <c r="B384">
        <v>52.48</v>
      </c>
      <c r="C384">
        <f>AVERAGE(B384:B403)</f>
        <v>50.297499999999999</v>
      </c>
      <c r="D384">
        <f>AVERAGE(C384:C483)</f>
        <v>44.516315000000013</v>
      </c>
      <c r="E384">
        <f>MIN(B384:B433)</f>
        <v>38.22</v>
      </c>
      <c r="F384">
        <f>MAX(B384:B433)</f>
        <v>53.05</v>
      </c>
      <c r="I384" t="str">
        <f t="shared" si="11"/>
        <v>Negative slope</v>
      </c>
      <c r="J384" t="str">
        <f t="shared" si="12"/>
        <v>Negative slope</v>
      </c>
    </row>
    <row r="385" spans="1:10" x14ac:dyDescent="0.2">
      <c r="A385" s="20">
        <v>42192</v>
      </c>
      <c r="B385">
        <v>52.33</v>
      </c>
      <c r="C385">
        <f>AVERAGE(B385:B404)</f>
        <v>49.935999999999993</v>
      </c>
      <c r="D385">
        <f>AVERAGE(C385:C484)</f>
        <v>44.395350000000008</v>
      </c>
      <c r="E385">
        <f>MIN(B385:B434)</f>
        <v>38.22</v>
      </c>
      <c r="F385">
        <f>MAX(B385:B434)</f>
        <v>53.05</v>
      </c>
      <c r="I385" t="str">
        <f t="shared" si="11"/>
        <v>Negative slope</v>
      </c>
      <c r="J385" t="str">
        <f t="shared" si="12"/>
        <v>Negative slope</v>
      </c>
    </row>
    <row r="386" spans="1:10" x14ac:dyDescent="0.2">
      <c r="A386" s="20">
        <v>42193</v>
      </c>
      <c r="B386">
        <v>51.61</v>
      </c>
      <c r="C386">
        <f>AVERAGE(B386:B405)</f>
        <v>49.606999999999999</v>
      </c>
      <c r="D386">
        <f>AVERAGE(C386:C485)</f>
        <v>44.275615000000009</v>
      </c>
      <c r="E386">
        <f>MIN(B386:B435)</f>
        <v>38.22</v>
      </c>
      <c r="F386">
        <f>MAX(B386:B435)</f>
        <v>53.05</v>
      </c>
      <c r="I386" t="str">
        <f t="shared" si="11"/>
        <v>Negative slope</v>
      </c>
      <c r="J386" t="str">
        <f t="shared" si="12"/>
        <v>Negative slope</v>
      </c>
    </row>
    <row r="387" spans="1:10" x14ac:dyDescent="0.2">
      <c r="A387" s="20">
        <v>42194</v>
      </c>
      <c r="B387">
        <v>52.76</v>
      </c>
      <c r="C387">
        <f>AVERAGE(B387:B406)</f>
        <v>49.283000000000001</v>
      </c>
      <c r="D387">
        <f>AVERAGE(C387:C486)</f>
        <v>44.156940000000006</v>
      </c>
      <c r="E387">
        <f>MIN(B387:B436)</f>
        <v>38.22</v>
      </c>
      <c r="F387">
        <f>MAX(B387:B436)</f>
        <v>53.05</v>
      </c>
      <c r="I387" t="str">
        <f t="shared" ref="I387:I450" si="13">IF((C388-C387)&gt;0, "Positive slope", "Negative slope")</f>
        <v>Negative slope</v>
      </c>
      <c r="J387" t="str">
        <f t="shared" ref="J387:J450" si="14">IF((D388-D387)&gt;0, "Positive slope", "Negative slope")</f>
        <v>Negative slope</v>
      </c>
    </row>
    <row r="388" spans="1:10" x14ac:dyDescent="0.2">
      <c r="A388" s="20">
        <v>42195</v>
      </c>
      <c r="B388">
        <v>52.74</v>
      </c>
      <c r="C388">
        <f>AVERAGE(B388:B407)</f>
        <v>48.879499999999993</v>
      </c>
      <c r="D388">
        <f>AVERAGE(C388:C487)</f>
        <v>44.039705000000005</v>
      </c>
      <c r="E388">
        <f>MIN(B388:B437)</f>
        <v>38.22</v>
      </c>
      <c r="F388">
        <f>MAX(B388:B437)</f>
        <v>53.05</v>
      </c>
      <c r="I388" t="str">
        <f t="shared" si="13"/>
        <v>Negative slope</v>
      </c>
      <c r="J388" t="str">
        <f t="shared" si="14"/>
        <v>Negative slope</v>
      </c>
    </row>
    <row r="389" spans="1:10" x14ac:dyDescent="0.2">
      <c r="A389" s="20">
        <v>42198</v>
      </c>
      <c r="B389">
        <v>52.19</v>
      </c>
      <c r="C389">
        <f>AVERAGE(B389:B408)</f>
        <v>48.435999999999993</v>
      </c>
      <c r="D389">
        <f>AVERAGE(C389:C488)</f>
        <v>43.924400000000013</v>
      </c>
      <c r="E389">
        <f>MIN(B389:B438)</f>
        <v>38.22</v>
      </c>
      <c r="F389">
        <f>MAX(B389:B438)</f>
        <v>53.05</v>
      </c>
      <c r="I389" t="str">
        <f t="shared" si="13"/>
        <v>Negative slope</v>
      </c>
      <c r="J389" t="str">
        <f t="shared" si="14"/>
        <v>Negative slope</v>
      </c>
    </row>
    <row r="390" spans="1:10" x14ac:dyDescent="0.2">
      <c r="A390" s="20">
        <v>42199</v>
      </c>
      <c r="B390">
        <v>53.05</v>
      </c>
      <c r="C390">
        <f>AVERAGE(B390:B409)</f>
        <v>48.073499999999989</v>
      </c>
      <c r="D390">
        <f>AVERAGE(C390:C489)</f>
        <v>43.811908421052649</v>
      </c>
      <c r="E390">
        <f>MIN(B390:B439)</f>
        <v>38.22</v>
      </c>
      <c r="F390">
        <f>MAX(B390:B439)</f>
        <v>53.05</v>
      </c>
      <c r="I390" t="str">
        <f t="shared" si="13"/>
        <v>Negative slope</v>
      </c>
      <c r="J390" t="str">
        <f t="shared" si="14"/>
        <v>Negative slope</v>
      </c>
    </row>
    <row r="391" spans="1:10" x14ac:dyDescent="0.2">
      <c r="A391" s="20">
        <v>42200</v>
      </c>
      <c r="B391">
        <v>51.4</v>
      </c>
      <c r="C391">
        <f>AVERAGE(B391:B410)</f>
        <v>47.576500000000003</v>
      </c>
      <c r="D391">
        <f>AVERAGE(C391:C490)</f>
        <v>43.701156754385984</v>
      </c>
      <c r="E391">
        <f>MIN(B391:B440)</f>
        <v>38.22</v>
      </c>
      <c r="F391">
        <f>MAX(B391:B440)</f>
        <v>51.4</v>
      </c>
      <c r="I391" t="str">
        <f t="shared" si="13"/>
        <v>Negative slope</v>
      </c>
      <c r="J391" t="str">
        <f t="shared" si="14"/>
        <v>Negative slope</v>
      </c>
    </row>
    <row r="392" spans="1:10" x14ac:dyDescent="0.2">
      <c r="A392" s="20">
        <v>42201</v>
      </c>
      <c r="B392">
        <v>50.9</v>
      </c>
      <c r="C392">
        <f>AVERAGE(B392:B411)</f>
        <v>47.167500000000004</v>
      </c>
      <c r="D392">
        <f>AVERAGE(C392:C491)</f>
        <v>43.593650577915383</v>
      </c>
      <c r="E392">
        <f>MIN(B392:B441)</f>
        <v>38.22</v>
      </c>
      <c r="F392">
        <f>MAX(B392:B441)</f>
        <v>50.9</v>
      </c>
      <c r="I392" t="str">
        <f t="shared" si="13"/>
        <v>Negative slope</v>
      </c>
      <c r="J392" t="str">
        <f t="shared" si="14"/>
        <v>Negative slope</v>
      </c>
    </row>
    <row r="393" spans="1:10" x14ac:dyDescent="0.2">
      <c r="A393" s="20">
        <v>42202</v>
      </c>
      <c r="B393">
        <v>50.88</v>
      </c>
      <c r="C393">
        <f>AVERAGE(B393:B412)</f>
        <v>46.735999999999997</v>
      </c>
      <c r="D393">
        <f>AVERAGE(C393:C492)</f>
        <v>43.487575577915393</v>
      </c>
      <c r="E393">
        <f>MIN(B393:B442)</f>
        <v>38.22</v>
      </c>
      <c r="F393">
        <f>MAX(B393:B442)</f>
        <v>50.88</v>
      </c>
      <c r="I393" t="str">
        <f t="shared" si="13"/>
        <v>Negative slope</v>
      </c>
      <c r="J393" t="str">
        <f t="shared" si="14"/>
        <v>Negative slope</v>
      </c>
    </row>
    <row r="394" spans="1:10" x14ac:dyDescent="0.2">
      <c r="A394" s="20">
        <v>42205</v>
      </c>
      <c r="B394">
        <v>50.11</v>
      </c>
      <c r="C394">
        <f>AVERAGE(B394:B413)</f>
        <v>46.314499999999995</v>
      </c>
      <c r="D394">
        <f>AVERAGE(C394:C493)</f>
        <v>43.383522244582075</v>
      </c>
      <c r="E394">
        <f>MIN(B394:B443)</f>
        <v>38.22</v>
      </c>
      <c r="F394">
        <f>MAX(B394:B443)</f>
        <v>50.59</v>
      </c>
      <c r="I394" t="str">
        <f t="shared" si="13"/>
        <v>Negative slope</v>
      </c>
      <c r="J394" t="str">
        <f t="shared" si="14"/>
        <v>Negative slope</v>
      </c>
    </row>
    <row r="395" spans="1:10" x14ac:dyDescent="0.2">
      <c r="A395" s="20">
        <v>42206</v>
      </c>
      <c r="B395">
        <v>50.59</v>
      </c>
      <c r="C395">
        <f>AVERAGE(B395:B414)</f>
        <v>45.905499999999996</v>
      </c>
      <c r="D395">
        <f>AVERAGE(C395:C494)</f>
        <v>43.282748673153492</v>
      </c>
      <c r="E395">
        <f>MIN(B395:B444)</f>
        <v>38.22</v>
      </c>
      <c r="F395">
        <f>MAX(B395:B444)</f>
        <v>50.59</v>
      </c>
      <c r="I395" t="str">
        <f t="shared" si="13"/>
        <v>Negative slope</v>
      </c>
      <c r="J395" t="str">
        <f t="shared" si="14"/>
        <v>Negative slope</v>
      </c>
    </row>
    <row r="396" spans="1:10" x14ac:dyDescent="0.2">
      <c r="A396" s="20">
        <v>42207</v>
      </c>
      <c r="B396">
        <v>49.27</v>
      </c>
      <c r="C396">
        <f>AVERAGE(B396:B415)</f>
        <v>45.505000000000003</v>
      </c>
      <c r="D396">
        <f>AVERAGE(C396:C495)</f>
        <v>43.185124442384257</v>
      </c>
      <c r="E396">
        <f>MIN(B396:B445)</f>
        <v>38.22</v>
      </c>
      <c r="F396">
        <f>MAX(B396:B445)</f>
        <v>49.27</v>
      </c>
      <c r="I396" t="str">
        <f t="shared" si="13"/>
        <v>Negative slope</v>
      </c>
      <c r="J396" t="str">
        <f t="shared" si="14"/>
        <v>Negative slope</v>
      </c>
    </row>
    <row r="397" spans="1:10" x14ac:dyDescent="0.2">
      <c r="A397" s="20">
        <v>42208</v>
      </c>
      <c r="B397">
        <v>48.11</v>
      </c>
      <c r="C397">
        <f>AVERAGE(B397:B416)</f>
        <v>45.079000000000001</v>
      </c>
      <c r="D397">
        <f>AVERAGE(C397:C496)</f>
        <v>43.090657775717602</v>
      </c>
      <c r="E397">
        <f>MIN(B397:B446)</f>
        <v>38.22</v>
      </c>
      <c r="F397">
        <f>MAX(B397:B446)</f>
        <v>49.2</v>
      </c>
      <c r="I397" t="str">
        <f t="shared" si="13"/>
        <v>Negative slope</v>
      </c>
      <c r="J397" t="str">
        <f t="shared" si="14"/>
        <v>Negative slope</v>
      </c>
    </row>
    <row r="398" spans="1:10" x14ac:dyDescent="0.2">
      <c r="A398" s="20">
        <v>42209</v>
      </c>
      <c r="B398">
        <v>47.98</v>
      </c>
      <c r="C398">
        <f>AVERAGE(B398:B417)</f>
        <v>44.723500000000008</v>
      </c>
      <c r="D398">
        <f>AVERAGE(C398:C497)</f>
        <v>42.999813230263051</v>
      </c>
      <c r="E398">
        <f>MIN(B398:B447)</f>
        <v>38.22</v>
      </c>
      <c r="F398">
        <f>MAX(B398:B447)</f>
        <v>49.2</v>
      </c>
      <c r="I398" t="str">
        <f t="shared" si="13"/>
        <v>Negative slope</v>
      </c>
      <c r="J398" t="str">
        <f t="shared" si="14"/>
        <v>Negative slope</v>
      </c>
    </row>
    <row r="399" spans="1:10" x14ac:dyDescent="0.2">
      <c r="A399" s="20">
        <v>42212</v>
      </c>
      <c r="B399">
        <v>47.17</v>
      </c>
      <c r="C399">
        <f>AVERAGE(B399:B418)</f>
        <v>44.347000000000001</v>
      </c>
      <c r="D399">
        <f>AVERAGE(C399:C498)</f>
        <v>42.912868230263051</v>
      </c>
      <c r="E399">
        <f>MIN(B399:B448)</f>
        <v>38.22</v>
      </c>
      <c r="F399">
        <f>MAX(B399:B448)</f>
        <v>49.2</v>
      </c>
      <c r="I399" t="str">
        <f t="shared" si="13"/>
        <v>Negative slope</v>
      </c>
      <c r="J399" t="str">
        <f t="shared" si="14"/>
        <v>Negative slope</v>
      </c>
    </row>
    <row r="400" spans="1:10" x14ac:dyDescent="0.2">
      <c r="A400" s="20">
        <v>42213</v>
      </c>
      <c r="B400">
        <v>47.97</v>
      </c>
      <c r="C400">
        <f>AVERAGE(B400:B419)</f>
        <v>43.899500000000003</v>
      </c>
      <c r="D400">
        <f>AVERAGE(C400:C499)</f>
        <v>42.829376008040818</v>
      </c>
      <c r="E400">
        <f>MIN(B400:B449)</f>
        <v>38.22</v>
      </c>
      <c r="F400">
        <f>MAX(B400:B449)</f>
        <v>49.2</v>
      </c>
      <c r="I400" t="str">
        <f t="shared" si="13"/>
        <v>Negative slope</v>
      </c>
      <c r="J400" t="str">
        <f t="shared" si="14"/>
        <v>Negative slope</v>
      </c>
    </row>
    <row r="401" spans="1:10" x14ac:dyDescent="0.2">
      <c r="A401" s="20">
        <v>42214</v>
      </c>
      <c r="B401">
        <v>48.77</v>
      </c>
      <c r="C401">
        <f>AVERAGE(B401:B420)</f>
        <v>43.458500000000001</v>
      </c>
      <c r="D401">
        <f>AVERAGE(C401:C500)</f>
        <v>42.748706008040827</v>
      </c>
      <c r="E401">
        <f>MIN(B401:B450)</f>
        <v>38.22</v>
      </c>
      <c r="F401">
        <f>MAX(B401:B450)</f>
        <v>49.2</v>
      </c>
      <c r="I401" t="str">
        <f t="shared" si="13"/>
        <v>Negative slope</v>
      </c>
      <c r="J401" t="str">
        <f t="shared" si="14"/>
        <v>Negative slope</v>
      </c>
    </row>
    <row r="402" spans="1:10" x14ac:dyDescent="0.2">
      <c r="A402" s="20">
        <v>42215</v>
      </c>
      <c r="B402">
        <v>48.53</v>
      </c>
      <c r="C402">
        <f>AVERAGE(B402:B421)</f>
        <v>42.945000000000007</v>
      </c>
      <c r="D402">
        <f>AVERAGE(C402:C501)</f>
        <v>42.6728495794694</v>
      </c>
      <c r="E402">
        <f>MIN(B402:B451)</f>
        <v>38.22</v>
      </c>
      <c r="F402">
        <f>MAX(B402:B451)</f>
        <v>49.46</v>
      </c>
      <c r="I402" t="str">
        <f t="shared" si="13"/>
        <v>Negative slope</v>
      </c>
      <c r="J402" t="str">
        <f t="shared" si="14"/>
        <v>Negative slope</v>
      </c>
    </row>
    <row r="403" spans="1:10" x14ac:dyDescent="0.2">
      <c r="A403" s="20">
        <v>42216</v>
      </c>
      <c r="B403">
        <v>47.11</v>
      </c>
      <c r="C403">
        <f>AVERAGE(B403:B422)</f>
        <v>42.64200000000001</v>
      </c>
      <c r="D403">
        <f>AVERAGE(C403:C502)</f>
        <v>42.603616246136063</v>
      </c>
      <c r="E403">
        <f>MIN(B403:B452)</f>
        <v>38.22</v>
      </c>
      <c r="F403">
        <f>MAX(B403:B452)</f>
        <v>49.67</v>
      </c>
      <c r="I403" t="str">
        <f t="shared" si="13"/>
        <v>Negative slope</v>
      </c>
      <c r="J403" t="str">
        <f t="shared" si="14"/>
        <v>Negative slope</v>
      </c>
    </row>
    <row r="404" spans="1:10" x14ac:dyDescent="0.2">
      <c r="A404" s="20">
        <v>42219</v>
      </c>
      <c r="B404">
        <v>45.25</v>
      </c>
      <c r="C404">
        <f>AVERAGE(B404:B423)</f>
        <v>42.551000000000002</v>
      </c>
      <c r="D404">
        <f>AVERAGE(C404:C503)</f>
        <v>42.540016246136062</v>
      </c>
      <c r="E404">
        <f>MIN(B404:B453)</f>
        <v>38.22</v>
      </c>
      <c r="F404">
        <f>MAX(B404:B453)</f>
        <v>49.67</v>
      </c>
      <c r="I404" t="str">
        <f t="shared" si="13"/>
        <v>Positive slope</v>
      </c>
      <c r="J404" t="str">
        <f t="shared" si="14"/>
        <v>Negative slope</v>
      </c>
    </row>
    <row r="405" spans="1:10" x14ac:dyDescent="0.2">
      <c r="A405" s="20">
        <v>42220</v>
      </c>
      <c r="B405">
        <v>45.75</v>
      </c>
      <c r="C405">
        <f>AVERAGE(B405:B424)</f>
        <v>42.748500000000007</v>
      </c>
      <c r="D405">
        <f>AVERAGE(C405:C504)</f>
        <v>42.481656246136062</v>
      </c>
      <c r="E405">
        <f>MIN(B405:B454)</f>
        <v>38.22</v>
      </c>
      <c r="F405">
        <f>MAX(B405:B454)</f>
        <v>49.67</v>
      </c>
      <c r="I405" t="str">
        <f t="shared" si="13"/>
        <v>Negative slope</v>
      </c>
      <c r="J405" t="str">
        <f t="shared" si="14"/>
        <v>Negative slope</v>
      </c>
    </row>
    <row r="406" spans="1:10" x14ac:dyDescent="0.2">
      <c r="A406" s="20">
        <v>42221</v>
      </c>
      <c r="B406">
        <v>45.13</v>
      </c>
      <c r="C406">
        <f>AVERAGE(B406:B425)</f>
        <v>42.730000000000004</v>
      </c>
      <c r="D406">
        <f>AVERAGE(C406:C505)</f>
        <v>42.423304579469388</v>
      </c>
      <c r="E406">
        <f>MIN(B406:B455)</f>
        <v>38.22</v>
      </c>
      <c r="F406">
        <f>MAX(B406:B455)</f>
        <v>49.67</v>
      </c>
      <c r="I406" t="str">
        <f t="shared" si="13"/>
        <v>Positive slope</v>
      </c>
      <c r="J406" t="str">
        <f t="shared" si="14"/>
        <v>Negative slope</v>
      </c>
    </row>
    <row r="407" spans="1:10" x14ac:dyDescent="0.2">
      <c r="A407" s="20">
        <v>42222</v>
      </c>
      <c r="B407">
        <v>44.69</v>
      </c>
      <c r="C407">
        <f>AVERAGE(B407:B426)</f>
        <v>42.788499999999999</v>
      </c>
      <c r="D407">
        <f>AVERAGE(C407:C506)</f>
        <v>42.36590457946938</v>
      </c>
      <c r="E407">
        <f>MIN(B407:B456)</f>
        <v>38.22</v>
      </c>
      <c r="F407">
        <f>MAX(B407:B456)</f>
        <v>49.67</v>
      </c>
      <c r="I407" t="str">
        <f t="shared" si="13"/>
        <v>Positive slope</v>
      </c>
      <c r="J407" t="str">
        <f t="shared" si="14"/>
        <v>Negative slope</v>
      </c>
    </row>
    <row r="408" spans="1:10" x14ac:dyDescent="0.2">
      <c r="A408" s="20">
        <v>42223</v>
      </c>
      <c r="B408">
        <v>43.87</v>
      </c>
      <c r="C408">
        <f>AVERAGE(B408:B427)</f>
        <v>42.891499999999994</v>
      </c>
      <c r="D408">
        <f>AVERAGE(C408:C507)</f>
        <v>42.301619579469381</v>
      </c>
      <c r="E408">
        <f>MIN(B408:B457)</f>
        <v>38.22</v>
      </c>
      <c r="F408">
        <f>MAX(B408:B457)</f>
        <v>49.67</v>
      </c>
      <c r="I408" t="str">
        <f t="shared" si="13"/>
        <v>Positive slope</v>
      </c>
      <c r="J408" t="str">
        <f t="shared" si="14"/>
        <v>Negative slope</v>
      </c>
    </row>
    <row r="409" spans="1:10" x14ac:dyDescent="0.2">
      <c r="A409" s="20">
        <v>42226</v>
      </c>
      <c r="B409">
        <v>44.94</v>
      </c>
      <c r="C409">
        <f>AVERAGE(B409:B428)</f>
        <v>42.998999999999995</v>
      </c>
      <c r="D409">
        <f>AVERAGE(C409:C508)</f>
        <v>42.295661191383218</v>
      </c>
      <c r="E409">
        <f>MIN(B409:B458)</f>
        <v>38.22</v>
      </c>
      <c r="F409">
        <f>MAX(B409:B458)</f>
        <v>49.67</v>
      </c>
      <c r="I409" t="str">
        <f t="shared" si="13"/>
        <v>Positive slope</v>
      </c>
      <c r="J409" t="str">
        <f t="shared" si="14"/>
        <v>Negative slope</v>
      </c>
    </row>
    <row r="410" spans="1:10" x14ac:dyDescent="0.2">
      <c r="A410" s="20">
        <v>42227</v>
      </c>
      <c r="B410">
        <v>43.11</v>
      </c>
      <c r="C410">
        <f>AVERAGE(B410:B429)</f>
        <v>43.047999999999995</v>
      </c>
      <c r="D410">
        <f>AVERAGE(C410:C509)</f>
        <v>42.288484264764691</v>
      </c>
      <c r="E410">
        <f>MIN(B410:B459)</f>
        <v>38.22</v>
      </c>
      <c r="F410">
        <f>MAX(B410:B459)</f>
        <v>49.67</v>
      </c>
      <c r="I410" t="str">
        <f t="shared" si="13"/>
        <v>Positive slope</v>
      </c>
      <c r="J410" t="str">
        <f t="shared" si="14"/>
        <v>Negative slope</v>
      </c>
    </row>
    <row r="411" spans="1:10" x14ac:dyDescent="0.2">
      <c r="A411" s="20">
        <v>42228</v>
      </c>
      <c r="B411">
        <v>43.22</v>
      </c>
      <c r="C411">
        <f>AVERAGE(B411:B430)</f>
        <v>43.098999999999997</v>
      </c>
      <c r="D411">
        <f>AVERAGE(C411:C510)</f>
        <v>42.280654205638555</v>
      </c>
      <c r="E411">
        <f>MIN(B411:B460)</f>
        <v>38.22</v>
      </c>
      <c r="F411">
        <f>MAX(B411:B460)</f>
        <v>49.67</v>
      </c>
      <c r="I411" t="str">
        <f t="shared" si="13"/>
        <v>Positive slope</v>
      </c>
      <c r="J411" t="str">
        <f t="shared" si="14"/>
        <v>Negative slope</v>
      </c>
    </row>
    <row r="412" spans="1:10" x14ac:dyDescent="0.2">
      <c r="A412" s="20">
        <v>42229</v>
      </c>
      <c r="B412">
        <v>42.27</v>
      </c>
      <c r="C412">
        <f>AVERAGE(B412:B431)</f>
        <v>43.230499999999992</v>
      </c>
      <c r="D412">
        <f>AVERAGE(C412:C511)</f>
        <v>42.272129770280621</v>
      </c>
      <c r="E412">
        <f>MIN(B412:B461)</f>
        <v>38.22</v>
      </c>
      <c r="F412">
        <f>MAX(B412:B461)</f>
        <v>49.67</v>
      </c>
      <c r="I412" t="str">
        <f t="shared" si="13"/>
        <v>Positive slope</v>
      </c>
      <c r="J412" t="str">
        <f t="shared" si="14"/>
        <v>Negative slope</v>
      </c>
    </row>
    <row r="413" spans="1:10" x14ac:dyDescent="0.2">
      <c r="A413" s="20">
        <v>42230</v>
      </c>
      <c r="B413">
        <v>42.45</v>
      </c>
      <c r="C413">
        <f>AVERAGE(B413:B432)</f>
        <v>43.354499999999994</v>
      </c>
      <c r="D413">
        <f>AVERAGE(C413:C512)</f>
        <v>42.262041662599358</v>
      </c>
      <c r="E413">
        <f>MIN(B413:B462)</f>
        <v>38.22</v>
      </c>
      <c r="F413">
        <f>MAX(B413:B462)</f>
        <v>49.67</v>
      </c>
      <c r="I413" t="str">
        <f t="shared" si="13"/>
        <v>Positive slope</v>
      </c>
      <c r="J413" t="str">
        <f t="shared" si="14"/>
        <v>Negative slope</v>
      </c>
    </row>
    <row r="414" spans="1:10" x14ac:dyDescent="0.2">
      <c r="A414" s="20">
        <v>42233</v>
      </c>
      <c r="B414">
        <v>41.93</v>
      </c>
      <c r="C414">
        <f>AVERAGE(B414:B433)</f>
        <v>43.435499999999998</v>
      </c>
      <c r="D414">
        <f>AVERAGE(C414:C513)</f>
        <v>42.250419765392969</v>
      </c>
      <c r="E414">
        <f>MIN(B414:B463)</f>
        <v>38.22</v>
      </c>
      <c r="F414">
        <f>MAX(B414:B463)</f>
        <v>49.67</v>
      </c>
      <c r="I414" t="str">
        <f t="shared" si="13"/>
        <v>Positive slope</v>
      </c>
      <c r="J414" t="str">
        <f t="shared" si="14"/>
        <v>Negative slope</v>
      </c>
    </row>
    <row r="415" spans="1:10" x14ac:dyDescent="0.2">
      <c r="A415" s="20">
        <v>42234</v>
      </c>
      <c r="B415">
        <v>42.58</v>
      </c>
      <c r="C415">
        <f>AVERAGE(B415:B434)</f>
        <v>43.567999999999998</v>
      </c>
      <c r="D415">
        <f>AVERAGE(C415:C514)</f>
        <v>42.237676967171389</v>
      </c>
      <c r="E415">
        <f>MIN(B415:B464)</f>
        <v>38.22</v>
      </c>
      <c r="F415">
        <f>MAX(B415:B464)</f>
        <v>49.67</v>
      </c>
      <c r="I415" t="str">
        <f t="shared" si="13"/>
        <v>Positive slope</v>
      </c>
      <c r="J415" t="str">
        <f t="shared" si="14"/>
        <v>Negative slope</v>
      </c>
    </row>
    <row r="416" spans="1:10" x14ac:dyDescent="0.2">
      <c r="A416" s="20">
        <v>42235</v>
      </c>
      <c r="B416">
        <v>40.75</v>
      </c>
      <c r="C416">
        <f>AVERAGE(B416:B435)</f>
        <v>43.795000000000002</v>
      </c>
      <c r="D416">
        <f>AVERAGE(C416:C515)</f>
        <v>42.223216934205858</v>
      </c>
      <c r="E416">
        <f>MIN(B416:B465)</f>
        <v>38.22</v>
      </c>
      <c r="F416">
        <f>MAX(B416:B465)</f>
        <v>49.67</v>
      </c>
      <c r="I416" t="str">
        <f t="shared" si="13"/>
        <v>Positive slope</v>
      </c>
      <c r="J416" t="str">
        <f t="shared" si="14"/>
        <v>Negative slope</v>
      </c>
    </row>
    <row r="417" spans="1:10" x14ac:dyDescent="0.2">
      <c r="A417" s="20">
        <v>42236</v>
      </c>
      <c r="B417">
        <v>41</v>
      </c>
      <c r="C417">
        <f>AVERAGE(B417:B436)</f>
        <v>44.103999999999999</v>
      </c>
      <c r="D417">
        <f>AVERAGE(C417:C516)</f>
        <v>42.205944592823514</v>
      </c>
      <c r="E417">
        <f>MIN(B417:B466)</f>
        <v>38.22</v>
      </c>
      <c r="F417">
        <f>MAX(B417:B466)</f>
        <v>49.67</v>
      </c>
      <c r="I417" t="str">
        <f t="shared" si="13"/>
        <v>Positive slope</v>
      </c>
      <c r="J417" t="str">
        <f t="shared" si="14"/>
        <v>Negative slope</v>
      </c>
    </row>
    <row r="418" spans="1:10" x14ac:dyDescent="0.2">
      <c r="A418" s="20">
        <v>42237</v>
      </c>
      <c r="B418">
        <v>40.450000000000003</v>
      </c>
      <c r="C418">
        <f>AVERAGE(B418:B437)</f>
        <v>44.289500000000004</v>
      </c>
      <c r="D418">
        <f>AVERAGE(C418:C517)</f>
        <v>42.184855088299322</v>
      </c>
      <c r="E418">
        <f>MIN(B418:B467)</f>
        <v>38.22</v>
      </c>
      <c r="F418">
        <f>MAX(B418:B467)</f>
        <v>49.67</v>
      </c>
      <c r="I418" t="str">
        <f t="shared" si="13"/>
        <v>Positive slope</v>
      </c>
      <c r="J418" t="str">
        <f t="shared" si="14"/>
        <v>Negative slope</v>
      </c>
    </row>
    <row r="419" spans="1:10" x14ac:dyDescent="0.2">
      <c r="A419" s="20">
        <v>42240</v>
      </c>
      <c r="B419">
        <v>38.22</v>
      </c>
      <c r="C419">
        <f>AVERAGE(B419:B438)</f>
        <v>44.600500000000004</v>
      </c>
      <c r="D419">
        <f>AVERAGE(C419:C518)</f>
        <v>42.161207392662241</v>
      </c>
      <c r="E419">
        <f>MIN(B419:B468)</f>
        <v>38.22</v>
      </c>
      <c r="F419">
        <f>MAX(B419:B468)</f>
        <v>49.67</v>
      </c>
      <c r="I419" t="str">
        <f t="shared" si="13"/>
        <v>Positive slope</v>
      </c>
      <c r="J419" t="str">
        <f t="shared" si="14"/>
        <v>Negative slope</v>
      </c>
    </row>
    <row r="420" spans="1:10" x14ac:dyDescent="0.2">
      <c r="A420" s="20">
        <v>42241</v>
      </c>
      <c r="B420">
        <v>39.15</v>
      </c>
      <c r="C420">
        <f>AVERAGE(B420:B439)</f>
        <v>44.998000000000005</v>
      </c>
      <c r="D420">
        <f>AVERAGE(C420:C519)</f>
        <v>42.13348815848795</v>
      </c>
      <c r="E420">
        <f>MIN(B420:B469)</f>
        <v>38.5</v>
      </c>
      <c r="F420">
        <f>MAX(B420:B469)</f>
        <v>49.67</v>
      </c>
      <c r="I420" t="str">
        <f t="shared" si="13"/>
        <v>Positive slope</v>
      </c>
      <c r="J420" t="str">
        <f t="shared" si="14"/>
        <v>Negative slope</v>
      </c>
    </row>
    <row r="421" spans="1:10" x14ac:dyDescent="0.2">
      <c r="A421" s="20">
        <v>42242</v>
      </c>
      <c r="B421">
        <v>38.5</v>
      </c>
      <c r="C421">
        <f>AVERAGE(B421:B440)</f>
        <v>45.266999999999996</v>
      </c>
      <c r="D421">
        <f>AVERAGE(C421:C520)</f>
        <v>42.100562735022287</v>
      </c>
      <c r="E421">
        <f>MIN(B421:B470)</f>
        <v>38.5</v>
      </c>
      <c r="F421">
        <f>MAX(B421:B470)</f>
        <v>49.67</v>
      </c>
      <c r="I421" t="str">
        <f t="shared" si="13"/>
        <v>Positive slope</v>
      </c>
      <c r="J421" t="str">
        <f t="shared" si="14"/>
        <v>Negative slope</v>
      </c>
    </row>
    <row r="422" spans="1:10" x14ac:dyDescent="0.2">
      <c r="A422" s="20">
        <v>42243</v>
      </c>
      <c r="B422">
        <v>42.47</v>
      </c>
      <c r="C422">
        <f>AVERAGE(B422:B441)</f>
        <v>45.588999999999999</v>
      </c>
      <c r="D422">
        <f>AVERAGE(C422:C521)</f>
        <v>42.063743697057433</v>
      </c>
      <c r="E422">
        <f>MIN(B422:B471)</f>
        <v>42.47</v>
      </c>
      <c r="F422">
        <f>MAX(B422:B471)</f>
        <v>49.67</v>
      </c>
      <c r="I422" t="str">
        <f t="shared" si="13"/>
        <v>Positive slope</v>
      </c>
      <c r="J422" t="str">
        <f t="shared" si="14"/>
        <v>Negative slope</v>
      </c>
    </row>
    <row r="423" spans="1:10" x14ac:dyDescent="0.2">
      <c r="A423" s="20">
        <v>42244</v>
      </c>
      <c r="B423">
        <v>45.29</v>
      </c>
      <c r="C423">
        <f>AVERAGE(B423:B442)</f>
        <v>45.742999999999995</v>
      </c>
      <c r="D423">
        <f>AVERAGE(C423:C522)</f>
        <v>42.022270093493397</v>
      </c>
      <c r="E423">
        <f>MIN(B423:B472)</f>
        <v>43.19</v>
      </c>
      <c r="F423">
        <f>MAX(B423:B472)</f>
        <v>49.67</v>
      </c>
      <c r="I423" t="str">
        <f t="shared" si="13"/>
        <v>Negative slope</v>
      </c>
      <c r="J423" t="str">
        <f t="shared" si="14"/>
        <v>Negative slope</v>
      </c>
    </row>
    <row r="424" spans="1:10" x14ac:dyDescent="0.2">
      <c r="A424" s="20">
        <v>42247</v>
      </c>
      <c r="B424">
        <v>49.2</v>
      </c>
      <c r="C424">
        <f>AVERAGE(B424:B443)</f>
        <v>45.698499999999981</v>
      </c>
      <c r="D424">
        <f>AVERAGE(C424:C523)</f>
        <v>41.977975689844506</v>
      </c>
      <c r="E424">
        <f>MIN(B424:B473)</f>
        <v>43.19</v>
      </c>
      <c r="F424">
        <f>MAX(B424:B473)</f>
        <v>49.67</v>
      </c>
      <c r="I424" t="str">
        <f t="shared" si="13"/>
        <v>Negative slope</v>
      </c>
      <c r="J424" t="str">
        <f t="shared" si="14"/>
        <v>Negative slope</v>
      </c>
    </row>
    <row r="425" spans="1:10" x14ac:dyDescent="0.2">
      <c r="A425" s="20">
        <v>42248</v>
      </c>
      <c r="B425">
        <v>45.38</v>
      </c>
      <c r="C425">
        <f>AVERAGE(B425:B444)</f>
        <v>45.500499999999995</v>
      </c>
      <c r="D425">
        <f>AVERAGE(C425:C524)</f>
        <v>41.93315009574625</v>
      </c>
      <c r="E425">
        <f>MIN(B425:B474)</f>
        <v>43.19</v>
      </c>
      <c r="F425">
        <f>MAX(B425:B474)</f>
        <v>49.67</v>
      </c>
      <c r="I425" t="str">
        <f t="shared" si="13"/>
        <v>Negative slope</v>
      </c>
      <c r="J425" t="str">
        <f t="shared" si="14"/>
        <v>Negative slope</v>
      </c>
    </row>
    <row r="426" spans="1:10" x14ac:dyDescent="0.2">
      <c r="A426" s="20">
        <v>42249</v>
      </c>
      <c r="B426">
        <v>46.3</v>
      </c>
      <c r="C426">
        <f>AVERAGE(B426:B445)</f>
        <v>45.48449999999999</v>
      </c>
      <c r="D426">
        <f>AVERAGE(C426:C525)</f>
        <v>41.889645828621205</v>
      </c>
      <c r="E426">
        <f>MIN(B426:B475)</f>
        <v>42.95</v>
      </c>
      <c r="F426">
        <f>MAX(B426:B475)</f>
        <v>49.67</v>
      </c>
      <c r="I426" t="str">
        <f t="shared" si="13"/>
        <v>Negative slope</v>
      </c>
      <c r="J426" t="str">
        <f t="shared" si="14"/>
        <v>Negative slope</v>
      </c>
    </row>
    <row r="427" spans="1:10" x14ac:dyDescent="0.2">
      <c r="A427" s="20">
        <v>42250</v>
      </c>
      <c r="B427">
        <v>46.75</v>
      </c>
      <c r="C427">
        <f>AVERAGE(B427:B446)</f>
        <v>45.406999999999996</v>
      </c>
      <c r="D427">
        <f>AVERAGE(C427:C526)</f>
        <v>41.845264912925167</v>
      </c>
      <c r="E427">
        <f>MIN(B427:B476)</f>
        <v>41.74</v>
      </c>
      <c r="F427">
        <f>MAX(B427:B476)</f>
        <v>49.67</v>
      </c>
      <c r="I427" t="str">
        <f t="shared" si="13"/>
        <v>Negative slope</v>
      </c>
      <c r="J427" t="str">
        <f t="shared" si="14"/>
        <v>Negative slope</v>
      </c>
    </row>
    <row r="428" spans="1:10" x14ac:dyDescent="0.2">
      <c r="A428" s="20">
        <v>42251</v>
      </c>
      <c r="B428">
        <v>46.02</v>
      </c>
      <c r="C428">
        <f>AVERAGE(B428:B447)</f>
        <v>45.346499999999992</v>
      </c>
      <c r="D428">
        <f>AVERAGE(C428:C527)</f>
        <v>41.800743224336728</v>
      </c>
      <c r="E428">
        <f>MIN(B428:B477)</f>
        <v>40.69</v>
      </c>
      <c r="F428">
        <f>MAX(B428:B477)</f>
        <v>49.67</v>
      </c>
      <c r="I428" t="str">
        <f t="shared" si="13"/>
        <v>Positive slope</v>
      </c>
      <c r="J428" t="str">
        <f t="shared" si="14"/>
        <v>Negative slope</v>
      </c>
    </row>
    <row r="429" spans="1:10" x14ac:dyDescent="0.2">
      <c r="A429" s="20">
        <v>42255</v>
      </c>
      <c r="B429">
        <v>45.92</v>
      </c>
      <c r="C429">
        <f>AVERAGE(B429:B448)</f>
        <v>45.359500000000004</v>
      </c>
      <c r="D429">
        <f>AVERAGE(C429:C528)</f>
        <v>41.755860227176434</v>
      </c>
      <c r="E429">
        <f>MIN(B429:B478)</f>
        <v>40.69</v>
      </c>
      <c r="F429">
        <f>MAX(B429:B478)</f>
        <v>49.67</v>
      </c>
      <c r="I429" t="str">
        <f t="shared" si="13"/>
        <v>Positive slope</v>
      </c>
      <c r="J429" t="str">
        <f t="shared" si="14"/>
        <v>Negative slope</v>
      </c>
    </row>
    <row r="430" spans="1:10" x14ac:dyDescent="0.2">
      <c r="A430" s="20">
        <v>42256</v>
      </c>
      <c r="B430">
        <v>44.13</v>
      </c>
      <c r="C430">
        <f>AVERAGE(B430:B449)</f>
        <v>45.489999999999995</v>
      </c>
      <c r="D430">
        <f>AVERAGE(C430:C529)</f>
        <v>41.709659717268437</v>
      </c>
      <c r="E430">
        <f>MIN(B430:B479)</f>
        <v>40.69</v>
      </c>
      <c r="F430">
        <f>MAX(B430:B479)</f>
        <v>49.67</v>
      </c>
      <c r="I430" t="str">
        <f t="shared" si="13"/>
        <v>Positive slope</v>
      </c>
      <c r="J430" t="str">
        <f t="shared" si="14"/>
        <v>Negative slope</v>
      </c>
    </row>
    <row r="431" spans="1:10" x14ac:dyDescent="0.2">
      <c r="A431" s="20">
        <v>42257</v>
      </c>
      <c r="B431">
        <v>45.85</v>
      </c>
      <c r="C431">
        <f>AVERAGE(B431:B450)</f>
        <v>45.67649999999999</v>
      </c>
      <c r="D431">
        <f>AVERAGE(C431:C530)</f>
        <v>41.66056438892128</v>
      </c>
      <c r="E431">
        <f>MIN(B431:B480)</f>
        <v>40.69</v>
      </c>
      <c r="F431">
        <f>MAX(B431:B480)</f>
        <v>49.67</v>
      </c>
      <c r="I431" t="str">
        <f t="shared" si="13"/>
        <v>Positive slope</v>
      </c>
      <c r="J431" t="str">
        <f t="shared" si="14"/>
        <v>Negative slope</v>
      </c>
    </row>
    <row r="432" spans="1:10" x14ac:dyDescent="0.2">
      <c r="A432" s="20">
        <v>42258</v>
      </c>
      <c r="B432">
        <v>44.75</v>
      </c>
      <c r="C432">
        <f>AVERAGE(B432:B451)</f>
        <v>45.856999999999999</v>
      </c>
      <c r="D432">
        <f>AVERAGE(C432:C531)</f>
        <v>41.607723130880771</v>
      </c>
      <c r="E432">
        <f>MIN(B432:B481)</f>
        <v>40.549999999999997</v>
      </c>
      <c r="F432">
        <f>MAX(B432:B481)</f>
        <v>49.67</v>
      </c>
      <c r="I432" t="str">
        <f t="shared" si="13"/>
        <v>Positive slope</v>
      </c>
      <c r="J432" t="str">
        <f t="shared" si="14"/>
        <v>Negative slope</v>
      </c>
    </row>
    <row r="433" spans="1:10" x14ac:dyDescent="0.2">
      <c r="A433" s="20">
        <v>42261</v>
      </c>
      <c r="B433">
        <v>44.07</v>
      </c>
      <c r="C433">
        <f>AVERAGE(B433:B452)</f>
        <v>46.102999999999994</v>
      </c>
      <c r="D433">
        <f>AVERAGE(C433:C532)</f>
        <v>41.551066105959173</v>
      </c>
      <c r="E433">
        <f>MIN(B433:B482)</f>
        <v>39.39</v>
      </c>
      <c r="F433">
        <f>MAX(B433:B482)</f>
        <v>49.67</v>
      </c>
      <c r="I433" t="str">
        <f t="shared" si="13"/>
        <v>Positive slope</v>
      </c>
      <c r="J433" t="str">
        <f t="shared" si="14"/>
        <v>Negative slope</v>
      </c>
    </row>
    <row r="434" spans="1:10" x14ac:dyDescent="0.2">
      <c r="A434" s="20">
        <v>42262</v>
      </c>
      <c r="B434">
        <v>44.58</v>
      </c>
      <c r="C434">
        <f>AVERAGE(B434:B453)</f>
        <v>46.254000000000005</v>
      </c>
      <c r="D434">
        <f>AVERAGE(C434:C533)</f>
        <v>41.489553485769441</v>
      </c>
      <c r="E434">
        <f>MIN(B434:B483)</f>
        <v>39.270000000000003</v>
      </c>
      <c r="F434">
        <f>MAX(B434:B483)</f>
        <v>49.67</v>
      </c>
      <c r="I434" t="str">
        <f t="shared" si="13"/>
        <v>Positive slope</v>
      </c>
      <c r="J434" t="str">
        <f t="shared" si="14"/>
        <v>Negative slope</v>
      </c>
    </row>
    <row r="435" spans="1:10" x14ac:dyDescent="0.2">
      <c r="A435" s="20">
        <v>42263</v>
      </c>
      <c r="B435">
        <v>47.12</v>
      </c>
      <c r="C435">
        <f>AVERAGE(B435:B454)</f>
        <v>46.36</v>
      </c>
      <c r="D435">
        <f>AVERAGE(C435:C534)</f>
        <v>41.424287095163542</v>
      </c>
      <c r="E435">
        <f>MIN(B435:B484)</f>
        <v>39.270000000000003</v>
      </c>
      <c r="F435">
        <f>MAX(B435:B484)</f>
        <v>49.67</v>
      </c>
      <c r="I435" t="str">
        <f t="shared" si="13"/>
        <v>Negative slope</v>
      </c>
      <c r="J435" t="str">
        <f t="shared" si="14"/>
        <v>Negative slope</v>
      </c>
    </row>
    <row r="436" spans="1:10" x14ac:dyDescent="0.2">
      <c r="A436" s="20">
        <v>42264</v>
      </c>
      <c r="B436">
        <v>46.93</v>
      </c>
      <c r="C436">
        <f>AVERAGE(B436:B455)</f>
        <v>46.335500000000003</v>
      </c>
      <c r="D436">
        <f>AVERAGE(C436:C535)</f>
        <v>41.355735527040814</v>
      </c>
      <c r="E436">
        <f>MIN(B436:B485)</f>
        <v>39.270000000000003</v>
      </c>
      <c r="F436">
        <f>MAX(B436:B485)</f>
        <v>49.67</v>
      </c>
      <c r="I436" t="str">
        <f t="shared" si="13"/>
        <v>Negative slope</v>
      </c>
      <c r="J436" t="str">
        <f t="shared" si="14"/>
        <v>Negative slope</v>
      </c>
    </row>
    <row r="437" spans="1:10" x14ac:dyDescent="0.2">
      <c r="A437" s="20">
        <v>42265</v>
      </c>
      <c r="B437">
        <v>44.71</v>
      </c>
      <c r="C437">
        <f>AVERAGE(B437:B456)</f>
        <v>46.308000000000007</v>
      </c>
      <c r="D437">
        <f>AVERAGE(C437:C536)</f>
        <v>41.285597999252658</v>
      </c>
      <c r="E437">
        <f>MIN(B437:B486)</f>
        <v>39.270000000000003</v>
      </c>
      <c r="F437">
        <f>MAX(B437:B486)</f>
        <v>49.67</v>
      </c>
      <c r="I437" t="str">
        <f t="shared" si="13"/>
        <v>Positive slope</v>
      </c>
      <c r="J437" t="str">
        <f t="shared" si="14"/>
        <v>Negative slope</v>
      </c>
    </row>
    <row r="438" spans="1:10" x14ac:dyDescent="0.2">
      <c r="A438" s="20">
        <v>42268</v>
      </c>
      <c r="B438">
        <v>46.67</v>
      </c>
      <c r="C438">
        <f>AVERAGE(B438:B457)</f>
        <v>46.4375</v>
      </c>
      <c r="D438">
        <f>AVERAGE(C438:C537)</f>
        <v>41.213849399241973</v>
      </c>
      <c r="E438">
        <f>MIN(B438:B487)</f>
        <v>39.270000000000003</v>
      </c>
      <c r="F438">
        <f>MAX(B438:B487)</f>
        <v>49.67</v>
      </c>
      <c r="I438" t="str">
        <f t="shared" si="13"/>
        <v>Negative slope</v>
      </c>
      <c r="J438" t="str">
        <f t="shared" si="14"/>
        <v>Negative slope</v>
      </c>
    </row>
    <row r="439" spans="1:10" x14ac:dyDescent="0.2">
      <c r="A439" s="20">
        <v>42269</v>
      </c>
      <c r="B439">
        <v>46.17</v>
      </c>
      <c r="C439">
        <f>AVERAGE(B439:B458)</f>
        <v>46.399500000000003</v>
      </c>
      <c r="D439">
        <f>AVERAGE(C439:C538)</f>
        <v>41.138144318071568</v>
      </c>
      <c r="E439">
        <f>MIN(B439:B488)</f>
        <v>39.270000000000003</v>
      </c>
      <c r="F439">
        <f>MAX(B439:B488)</f>
        <v>49.67</v>
      </c>
      <c r="I439" t="str">
        <f t="shared" si="13"/>
        <v>Negative slope</v>
      </c>
      <c r="J439" t="str">
        <f t="shared" si="14"/>
        <v>Negative slope</v>
      </c>
    </row>
    <row r="440" spans="1:10" x14ac:dyDescent="0.2">
      <c r="A440" s="20">
        <v>42270</v>
      </c>
      <c r="B440">
        <v>44.53</v>
      </c>
      <c r="C440">
        <f>AVERAGE(B440:B459)</f>
        <v>46.383000000000003</v>
      </c>
      <c r="D440">
        <f>AVERAGE(C440:C539)</f>
        <v>41.060771440396145</v>
      </c>
      <c r="E440">
        <f>MIN(B440:B489)</f>
        <v>39.270000000000003</v>
      </c>
      <c r="F440">
        <f>MAX(B440:B489)</f>
        <v>49.67</v>
      </c>
      <c r="I440" t="str">
        <f t="shared" si="13"/>
        <v>Positive slope</v>
      </c>
      <c r="J440" t="str">
        <f t="shared" si="14"/>
        <v>Negative slope</v>
      </c>
    </row>
    <row r="441" spans="1:10" x14ac:dyDescent="0.2">
      <c r="A441" s="20">
        <v>42271</v>
      </c>
      <c r="B441">
        <v>44.94</v>
      </c>
      <c r="C441">
        <f>AVERAGE(B441:B460)</f>
        <v>46.417500000000004</v>
      </c>
      <c r="D441">
        <f>AVERAGE(C441:C540)</f>
        <v>40.981335193237882</v>
      </c>
      <c r="E441">
        <f>MIN(B441:B490)</f>
        <v>39.270000000000003</v>
      </c>
      <c r="F441">
        <f>MAX(B441:B490)</f>
        <v>49.67</v>
      </c>
      <c r="I441" t="str">
        <f t="shared" si="13"/>
        <v>Negative slope</v>
      </c>
      <c r="J441" t="str">
        <f t="shared" si="14"/>
        <v>Negative slope</v>
      </c>
    </row>
    <row r="442" spans="1:10" x14ac:dyDescent="0.2">
      <c r="A442" s="20">
        <v>42272</v>
      </c>
      <c r="B442">
        <v>45.55</v>
      </c>
      <c r="C442">
        <f>AVERAGE(B442:B461)</f>
        <v>46.415500000000002</v>
      </c>
      <c r="D442">
        <f>AVERAGE(C442:C541)</f>
        <v>40.898969059802091</v>
      </c>
      <c r="E442">
        <f>MIN(B442:B491)</f>
        <v>39.270000000000003</v>
      </c>
      <c r="F442">
        <f>MAX(B442:B491)</f>
        <v>49.67</v>
      </c>
      <c r="I442" t="str">
        <f t="shared" si="13"/>
        <v>Negative slope</v>
      </c>
      <c r="J442" t="str">
        <f t="shared" si="14"/>
        <v>Negative slope</v>
      </c>
    </row>
    <row r="443" spans="1:10" x14ac:dyDescent="0.2">
      <c r="A443" s="20">
        <v>42275</v>
      </c>
      <c r="B443">
        <v>44.4</v>
      </c>
      <c r="C443">
        <f>AVERAGE(B443:B462)</f>
        <v>46.333500000000001</v>
      </c>
      <c r="D443">
        <f>AVERAGE(C443:C542)</f>
        <v>40.814099353029818</v>
      </c>
      <c r="E443">
        <f>MIN(B443:B492)</f>
        <v>39.270000000000003</v>
      </c>
      <c r="F443">
        <f>MAX(B443:B492)</f>
        <v>49.67</v>
      </c>
      <c r="I443" t="str">
        <f t="shared" si="13"/>
        <v>Negative slope</v>
      </c>
      <c r="J443" t="str">
        <f t="shared" si="14"/>
        <v>Negative slope</v>
      </c>
    </row>
    <row r="444" spans="1:10" x14ac:dyDescent="0.2">
      <c r="A444" s="20">
        <v>42276</v>
      </c>
      <c r="B444">
        <v>45.24</v>
      </c>
      <c r="C444">
        <f>AVERAGE(B444:B463)</f>
        <v>46.273000000000003</v>
      </c>
      <c r="D444">
        <f>AVERAGE(C444:C543)</f>
        <v>40.727858717920903</v>
      </c>
      <c r="E444">
        <f>MIN(B444:B493)</f>
        <v>37.64</v>
      </c>
      <c r="F444">
        <f>MAX(B444:B493)</f>
        <v>49.67</v>
      </c>
      <c r="I444" t="str">
        <f t="shared" si="13"/>
        <v>Negative slope</v>
      </c>
      <c r="J444" t="str">
        <f t="shared" si="14"/>
        <v>Negative slope</v>
      </c>
    </row>
    <row r="445" spans="1:10" x14ac:dyDescent="0.2">
      <c r="A445" s="20">
        <v>42277</v>
      </c>
      <c r="B445">
        <v>45.06</v>
      </c>
      <c r="C445">
        <f>AVERAGE(B445:B464)</f>
        <v>46.171500000000002</v>
      </c>
      <c r="D445">
        <f>AVERAGE(C445:C544)</f>
        <v>40.639840602332342</v>
      </c>
      <c r="E445">
        <f>MIN(B445:B494)</f>
        <v>37.46</v>
      </c>
      <c r="F445">
        <f>MAX(B445:B494)</f>
        <v>49.67</v>
      </c>
      <c r="I445" t="str">
        <f t="shared" si="13"/>
        <v>Positive slope</v>
      </c>
      <c r="J445" t="str">
        <f t="shared" si="14"/>
        <v>Negative slope</v>
      </c>
    </row>
    <row r="446" spans="1:10" x14ac:dyDescent="0.2">
      <c r="A446" s="20">
        <v>42278</v>
      </c>
      <c r="B446">
        <v>44.75</v>
      </c>
      <c r="C446">
        <f>AVERAGE(B446:B465)</f>
        <v>46.214999999999989</v>
      </c>
      <c r="D446">
        <f>AVERAGE(C446:C545)</f>
        <v>40.550620289466735</v>
      </c>
      <c r="E446">
        <f>MIN(B446:B495)</f>
        <v>37.159999999999997</v>
      </c>
      <c r="F446">
        <f>MAX(B446:B495)</f>
        <v>49.67</v>
      </c>
      <c r="I446" t="str">
        <f t="shared" si="13"/>
        <v>Positive slope</v>
      </c>
      <c r="J446" t="str">
        <f t="shared" si="14"/>
        <v>Negative slope</v>
      </c>
    </row>
    <row r="447" spans="1:10" x14ac:dyDescent="0.2">
      <c r="A447" s="20">
        <v>42279</v>
      </c>
      <c r="B447">
        <v>45.54</v>
      </c>
      <c r="C447">
        <f>AVERAGE(B447:B466)</f>
        <v>46.278499999999994</v>
      </c>
      <c r="D447">
        <f>AVERAGE(C447:C546)</f>
        <v>40.457761605687502</v>
      </c>
      <c r="E447">
        <f>MIN(B447:B496)</f>
        <v>36.76</v>
      </c>
      <c r="F447">
        <f>MAX(B447:B496)</f>
        <v>49.67</v>
      </c>
      <c r="I447" t="str">
        <f t="shared" si="13"/>
        <v>Positive slope</v>
      </c>
      <c r="J447" t="str">
        <f t="shared" si="14"/>
        <v>Negative slope</v>
      </c>
    </row>
    <row r="448" spans="1:10" x14ac:dyDescent="0.2">
      <c r="A448" s="20">
        <v>42282</v>
      </c>
      <c r="B448">
        <v>46.28</v>
      </c>
      <c r="C448">
        <f>AVERAGE(B448:B467)</f>
        <v>46.331499999999991</v>
      </c>
      <c r="D448">
        <f>AVERAGE(C448:C547)</f>
        <v>40.360749299115625</v>
      </c>
      <c r="E448">
        <f>MIN(B448:B497)</f>
        <v>35.65</v>
      </c>
      <c r="F448">
        <f>MAX(B448:B497)</f>
        <v>49.67</v>
      </c>
      <c r="I448" t="str">
        <f t="shared" si="13"/>
        <v>Negative slope</v>
      </c>
      <c r="J448" t="str">
        <f t="shared" si="14"/>
        <v>Negative slope</v>
      </c>
    </row>
    <row r="449" spans="1:10" x14ac:dyDescent="0.2">
      <c r="A449" s="20">
        <v>42283</v>
      </c>
      <c r="B449">
        <v>48.53</v>
      </c>
      <c r="C449">
        <f>AVERAGE(B449:B468)</f>
        <v>46.323499999999996</v>
      </c>
      <c r="D449">
        <f>AVERAGE(C449:C548)</f>
        <v>40.25955013469386</v>
      </c>
      <c r="E449">
        <f>MIN(B449:B498)</f>
        <v>35.65</v>
      </c>
      <c r="F449">
        <f>MAX(B449:B498)</f>
        <v>49.67</v>
      </c>
      <c r="I449" t="str">
        <f t="shared" si="13"/>
        <v>Negative slope</v>
      </c>
      <c r="J449" t="str">
        <f t="shared" si="14"/>
        <v>Negative slope</v>
      </c>
    </row>
    <row r="450" spans="1:10" x14ac:dyDescent="0.2">
      <c r="A450" s="20">
        <v>42284</v>
      </c>
      <c r="B450">
        <v>47.86</v>
      </c>
      <c r="C450">
        <f>AVERAGE(B450:B469)</f>
        <v>46.290999999999997</v>
      </c>
      <c r="D450">
        <f>AVERAGE(C450:C549)</f>
        <v>40.154999274947208</v>
      </c>
      <c r="E450">
        <f>MIN(B450:B499)</f>
        <v>35.65</v>
      </c>
      <c r="F450">
        <f>MAX(B450:B499)</f>
        <v>49.67</v>
      </c>
      <c r="I450" t="str">
        <f t="shared" si="13"/>
        <v>Negative slope</v>
      </c>
      <c r="J450" t="str">
        <f t="shared" si="14"/>
        <v>Negative slope</v>
      </c>
    </row>
    <row r="451" spans="1:10" x14ac:dyDescent="0.2">
      <c r="A451" s="20">
        <v>42285</v>
      </c>
      <c r="B451">
        <v>49.46</v>
      </c>
      <c r="C451">
        <f>AVERAGE(B451:B470)</f>
        <v>46.214000000000006</v>
      </c>
      <c r="D451">
        <f>AVERAGE(C451:C550)</f>
        <v>40.047350139419962</v>
      </c>
      <c r="E451">
        <f>MIN(B451:B500)</f>
        <v>35.549999999999997</v>
      </c>
      <c r="F451">
        <f>MAX(B451:B500)</f>
        <v>49.67</v>
      </c>
      <c r="I451" t="str">
        <f t="shared" ref="I451:I507" si="15">IF((C452-C451)&gt;0, "Positive slope", "Negative slope")</f>
        <v>Negative slope</v>
      </c>
      <c r="J451" t="str">
        <f t="shared" ref="J451:J507" si="16">IF((D452-D451)&gt;0, "Positive slope", "Negative slope")</f>
        <v>Negative slope</v>
      </c>
    </row>
    <row r="452" spans="1:10" x14ac:dyDescent="0.2">
      <c r="A452" s="20">
        <v>42286</v>
      </c>
      <c r="B452">
        <v>49.67</v>
      </c>
      <c r="C452">
        <f>AVERAGE(B452:B471)</f>
        <v>46.0045</v>
      </c>
      <c r="D452">
        <f>AVERAGE(C452:C551)</f>
        <v>39.937231391909606</v>
      </c>
      <c r="E452">
        <f>MIN(B452:B501)</f>
        <v>34.979999999999997</v>
      </c>
      <c r="F452">
        <f>MAX(B452:B501)</f>
        <v>49.67</v>
      </c>
      <c r="I452" t="str">
        <f t="shared" si="15"/>
        <v>Negative slope</v>
      </c>
      <c r="J452" t="str">
        <f t="shared" si="16"/>
        <v>Negative slope</v>
      </c>
    </row>
    <row r="453" spans="1:10" x14ac:dyDescent="0.2">
      <c r="A453" s="20">
        <v>42289</v>
      </c>
      <c r="B453">
        <v>47.09</v>
      </c>
      <c r="C453">
        <f>AVERAGE(B453:B472)</f>
        <v>45.737000000000002</v>
      </c>
      <c r="D453">
        <f>AVERAGE(C453:C552)</f>
        <v>39.826917417217039</v>
      </c>
      <c r="E453">
        <f>MIN(B453:B502)</f>
        <v>34.72</v>
      </c>
      <c r="F453">
        <f>MAX(B453:B502)</f>
        <v>47.88</v>
      </c>
      <c r="I453" t="str">
        <f t="shared" si="15"/>
        <v>Negative slope</v>
      </c>
      <c r="J453" t="str">
        <f t="shared" si="16"/>
        <v>Negative slope</v>
      </c>
    </row>
    <row r="454" spans="1:10" x14ac:dyDescent="0.2">
      <c r="A454" s="20">
        <v>42290</v>
      </c>
      <c r="B454">
        <v>46.7</v>
      </c>
      <c r="C454">
        <f>AVERAGE(B454:B473)</f>
        <v>45.576000000000001</v>
      </c>
      <c r="D454">
        <f>AVERAGE(C454:C553)</f>
        <v>39.717471443461804</v>
      </c>
      <c r="E454">
        <f>MIN(B454:B503)</f>
        <v>34.549999999999997</v>
      </c>
      <c r="F454">
        <f>MAX(B454:B503)</f>
        <v>47.88</v>
      </c>
      <c r="I454" t="str">
        <f t="shared" si="15"/>
        <v>Negative slope</v>
      </c>
      <c r="J454" t="str">
        <f t="shared" si="16"/>
        <v>Negative slope</v>
      </c>
    </row>
    <row r="455" spans="1:10" x14ac:dyDescent="0.2">
      <c r="A455" s="20">
        <v>42291</v>
      </c>
      <c r="B455">
        <v>46.63</v>
      </c>
      <c r="C455">
        <f>AVERAGE(B455:B474)</f>
        <v>45.452500000000001</v>
      </c>
      <c r="D455">
        <f>AVERAGE(C455:C554)</f>
        <v>39.606933168810137</v>
      </c>
      <c r="E455">
        <f>MIN(B455:B504)</f>
        <v>34.549999999999997</v>
      </c>
      <c r="F455">
        <f>MAX(B455:B504)</f>
        <v>47.88</v>
      </c>
      <c r="I455" t="str">
        <f t="shared" si="15"/>
        <v>Negative slope</v>
      </c>
      <c r="J455" t="str">
        <f t="shared" si="16"/>
        <v>Negative slope</v>
      </c>
    </row>
    <row r="456" spans="1:10" x14ac:dyDescent="0.2">
      <c r="A456" s="20">
        <v>42292</v>
      </c>
      <c r="B456">
        <v>46.38</v>
      </c>
      <c r="C456">
        <f>AVERAGE(B456:B475)</f>
        <v>45.268500000000003</v>
      </c>
      <c r="D456">
        <f>AVERAGE(C456:C555)</f>
        <v>39.494518422056487</v>
      </c>
      <c r="E456">
        <f>MIN(B456:B505)</f>
        <v>34.549999999999997</v>
      </c>
      <c r="F456">
        <f>MAX(B456:B505)</f>
        <v>47.88</v>
      </c>
      <c r="I456" t="str">
        <f t="shared" si="15"/>
        <v>Negative slope</v>
      </c>
      <c r="J456" t="str">
        <f t="shared" si="16"/>
        <v>Negative slope</v>
      </c>
    </row>
    <row r="457" spans="1:10" x14ac:dyDescent="0.2">
      <c r="A457" s="20">
        <v>42293</v>
      </c>
      <c r="B457">
        <v>47.3</v>
      </c>
      <c r="C457">
        <f>AVERAGE(B457:B476)</f>
        <v>45.036500000000004</v>
      </c>
      <c r="D457">
        <f>AVERAGE(C457:C556)</f>
        <v>39.381303096998771</v>
      </c>
      <c r="E457">
        <f>MIN(B457:B506)</f>
        <v>34.549999999999997</v>
      </c>
      <c r="F457">
        <f>MAX(B457:B506)</f>
        <v>47.88</v>
      </c>
      <c r="I457" t="str">
        <f t="shared" si="15"/>
        <v>Negative slope</v>
      </c>
      <c r="J457" t="str">
        <f t="shared" si="16"/>
        <v>Negative slope</v>
      </c>
    </row>
    <row r="458" spans="1:10" x14ac:dyDescent="0.2">
      <c r="A458" s="20">
        <v>42296</v>
      </c>
      <c r="B458">
        <v>45.91</v>
      </c>
      <c r="C458">
        <f>AVERAGE(B458:B477)</f>
        <v>44.706000000000003</v>
      </c>
      <c r="D458">
        <f>AVERAGE(C458:C557)</f>
        <v>39.268199158938749</v>
      </c>
      <c r="E458">
        <f>MIN(B458:B507)</f>
        <v>34.549999999999997</v>
      </c>
      <c r="F458">
        <f>MAX(B458:B507)</f>
        <v>47.88</v>
      </c>
      <c r="I458" t="str">
        <f t="shared" si="15"/>
        <v>Negative slope</v>
      </c>
      <c r="J458" t="str">
        <f t="shared" si="16"/>
        <v>Negative slope</v>
      </c>
    </row>
    <row r="459" spans="1:10" x14ac:dyDescent="0.2">
      <c r="A459" s="20">
        <v>42297</v>
      </c>
      <c r="B459">
        <v>45.84</v>
      </c>
      <c r="C459">
        <f>AVERAGE(B459:B478)</f>
        <v>44.494500000000002</v>
      </c>
      <c r="D459">
        <f>AVERAGE(C459:C558)</f>
        <v>39.157223631570155</v>
      </c>
      <c r="E459">
        <f>MIN(B459:B508)</f>
        <v>34.549999999999997</v>
      </c>
      <c r="F459">
        <f>MAX(B459:B508)</f>
        <v>47.88</v>
      </c>
      <c r="I459" t="str">
        <f t="shared" si="15"/>
        <v>Negative slope</v>
      </c>
      <c r="J459" t="str">
        <f t="shared" si="16"/>
        <v>Negative slope</v>
      </c>
    </row>
    <row r="460" spans="1:10" x14ac:dyDescent="0.2">
      <c r="A460" s="20">
        <v>42298</v>
      </c>
      <c r="B460">
        <v>45.22</v>
      </c>
      <c r="C460">
        <f>AVERAGE(B460:B479)</f>
        <v>44.239000000000004</v>
      </c>
      <c r="D460">
        <f>AVERAGE(C460:C559)</f>
        <v>39.046030373894531</v>
      </c>
      <c r="E460">
        <f>MIN(B460:B509)</f>
        <v>34.549999999999997</v>
      </c>
      <c r="F460">
        <f>MAX(B460:B509)</f>
        <v>47.88</v>
      </c>
      <c r="I460" t="str">
        <f t="shared" si="15"/>
        <v>Negative slope</v>
      </c>
      <c r="J460" t="str">
        <f t="shared" si="16"/>
        <v>Negative slope</v>
      </c>
    </row>
    <row r="461" spans="1:10" x14ac:dyDescent="0.2">
      <c r="A461" s="20">
        <v>42299</v>
      </c>
      <c r="B461">
        <v>44.9</v>
      </c>
      <c r="C461">
        <f>AVERAGE(B461:B480)</f>
        <v>44.015500000000003</v>
      </c>
      <c r="D461">
        <f>AVERAGE(C461:C560)</f>
        <v>38.935541658445473</v>
      </c>
      <c r="E461">
        <f>MIN(B461:B510)</f>
        <v>34.549999999999997</v>
      </c>
      <c r="F461">
        <f>MAX(B461:B510)</f>
        <v>47.88</v>
      </c>
      <c r="I461" t="str">
        <f t="shared" si="15"/>
        <v>Negative slope</v>
      </c>
      <c r="J461" t="str">
        <f t="shared" si="16"/>
        <v>Negative slope</v>
      </c>
    </row>
    <row r="462" spans="1:10" x14ac:dyDescent="0.2">
      <c r="A462" s="20">
        <v>42300</v>
      </c>
      <c r="B462">
        <v>43.91</v>
      </c>
      <c r="C462">
        <f>AVERAGE(B462:B481)</f>
        <v>43.797999999999995</v>
      </c>
      <c r="D462">
        <f>AVERAGE(C462:C561)</f>
        <v>38.825107781455159</v>
      </c>
      <c r="E462">
        <f>MIN(B462:B511)</f>
        <v>34.549999999999997</v>
      </c>
      <c r="F462">
        <f>MAX(B462:B511)</f>
        <v>47.88</v>
      </c>
      <c r="I462" t="str">
        <f t="shared" si="15"/>
        <v>Negative slope</v>
      </c>
      <c r="J462" t="str">
        <f t="shared" si="16"/>
        <v>Negative slope</v>
      </c>
    </row>
    <row r="463" spans="1:10" x14ac:dyDescent="0.2">
      <c r="A463" s="20">
        <v>42303</v>
      </c>
      <c r="B463">
        <v>43.19</v>
      </c>
      <c r="C463">
        <f>AVERAGE(B463:B482)</f>
        <v>43.571999999999989</v>
      </c>
      <c r="D463">
        <f>AVERAGE(C463:C562)</f>
        <v>38.714599065487498</v>
      </c>
      <c r="E463">
        <f>MIN(B463:B512)</f>
        <v>34.549999999999997</v>
      </c>
      <c r="F463">
        <f>MAX(B463:B512)</f>
        <v>47.88</v>
      </c>
      <c r="I463" t="str">
        <f t="shared" si="15"/>
        <v>Negative slope</v>
      </c>
      <c r="J463" t="str">
        <f t="shared" si="16"/>
        <v>Negative slope</v>
      </c>
    </row>
    <row r="464" spans="1:10" x14ac:dyDescent="0.2">
      <c r="A464" s="20">
        <v>42304</v>
      </c>
      <c r="B464">
        <v>43.21</v>
      </c>
      <c r="C464">
        <f>AVERAGE(B464:B483)</f>
        <v>43.375999999999998</v>
      </c>
      <c r="D464">
        <f>AVERAGE(C464:C563)</f>
        <v>38.604203589703125</v>
      </c>
      <c r="E464">
        <f>MIN(B464:B513)</f>
        <v>34.549999999999997</v>
      </c>
      <c r="F464">
        <f>MAX(B464:B513)</f>
        <v>47.88</v>
      </c>
      <c r="I464" t="str">
        <f t="shared" si="15"/>
        <v>Negative slope</v>
      </c>
      <c r="J464" t="str">
        <f t="shared" si="16"/>
        <v>Negative slope</v>
      </c>
    </row>
    <row r="465" spans="1:10" x14ac:dyDescent="0.2">
      <c r="A465" s="20">
        <v>42305</v>
      </c>
      <c r="B465">
        <v>45.93</v>
      </c>
      <c r="C465">
        <f>AVERAGE(B465:B484)</f>
        <v>43.26</v>
      </c>
      <c r="D465">
        <f>AVERAGE(C465:C564)</f>
        <v>38.493231580161336</v>
      </c>
      <c r="E465">
        <f>MIN(B465:B514)</f>
        <v>34.549999999999997</v>
      </c>
      <c r="F465">
        <f>MAX(B465:B514)</f>
        <v>47.88</v>
      </c>
      <c r="I465" t="str">
        <f t="shared" si="15"/>
        <v>Negative slope</v>
      </c>
      <c r="J465" t="str">
        <f t="shared" si="16"/>
        <v>Negative slope</v>
      </c>
    </row>
    <row r="466" spans="1:10" x14ac:dyDescent="0.2">
      <c r="A466" s="20">
        <v>42306</v>
      </c>
      <c r="B466">
        <v>46.02</v>
      </c>
      <c r="C466">
        <f>AVERAGE(B466:B485)</f>
        <v>43.024499999999996</v>
      </c>
      <c r="D466">
        <f>AVERAGE(C466:C565)</f>
        <v>38.379737093974711</v>
      </c>
      <c r="E466">
        <f>MIN(B466:B515)</f>
        <v>34.549999999999997</v>
      </c>
      <c r="F466">
        <f>MAX(B466:B515)</f>
        <v>47.88</v>
      </c>
      <c r="I466" t="str">
        <f t="shared" si="15"/>
        <v>Negative slope</v>
      </c>
      <c r="J466" t="str">
        <f t="shared" si="16"/>
        <v>Negative slope</v>
      </c>
    </row>
    <row r="467" spans="1:10" x14ac:dyDescent="0.2">
      <c r="A467" s="20">
        <v>42307</v>
      </c>
      <c r="B467">
        <v>46.6</v>
      </c>
      <c r="C467">
        <f>AVERAGE(B467:B486)</f>
        <v>42.784499999999994</v>
      </c>
      <c r="D467">
        <f>AVERAGE(C467:C566)</f>
        <v>38.266450193827751</v>
      </c>
      <c r="E467">
        <f>MIN(B467:B516)</f>
        <v>34.549999999999997</v>
      </c>
      <c r="F467">
        <f>MAX(B467:B516)</f>
        <v>47.88</v>
      </c>
      <c r="I467" t="str">
        <f t="shared" si="15"/>
        <v>Negative slope</v>
      </c>
      <c r="J467" t="str">
        <f t="shared" si="16"/>
        <v>Negative slope</v>
      </c>
    </row>
    <row r="468" spans="1:10" x14ac:dyDescent="0.2">
      <c r="A468" s="20">
        <v>42310</v>
      </c>
      <c r="B468">
        <v>46.12</v>
      </c>
      <c r="C468">
        <f>AVERAGE(B468:B487)</f>
        <v>42.482999999999997</v>
      </c>
      <c r="D468">
        <f>AVERAGE(C468:C567)</f>
        <v>38.153498948673445</v>
      </c>
      <c r="E468">
        <f>MIN(B468:B517)</f>
        <v>34.549999999999997</v>
      </c>
      <c r="F468">
        <f>MAX(B468:B517)</f>
        <v>47.88</v>
      </c>
      <c r="I468" t="str">
        <f t="shared" si="15"/>
        <v>Negative slope</v>
      </c>
      <c r="J468" t="str">
        <f t="shared" si="16"/>
        <v>Negative slope</v>
      </c>
    </row>
    <row r="469" spans="1:10" x14ac:dyDescent="0.2">
      <c r="A469" s="20">
        <v>42311</v>
      </c>
      <c r="B469">
        <v>47.88</v>
      </c>
      <c r="C469">
        <f>AVERAGE(B469:B488)</f>
        <v>42.198500000000003</v>
      </c>
      <c r="D469">
        <f>AVERAGE(C469:C568)</f>
        <v>38.042486101203536</v>
      </c>
      <c r="E469">
        <f>MIN(B469:B518)</f>
        <v>34.549999999999997</v>
      </c>
      <c r="F469">
        <f>MAX(B469:B518)</f>
        <v>47.88</v>
      </c>
      <c r="I469" t="str">
        <f t="shared" si="15"/>
        <v>Negative slope</v>
      </c>
      <c r="J469" t="str">
        <f t="shared" si="16"/>
        <v>Negative slope</v>
      </c>
    </row>
    <row r="470" spans="1:10" x14ac:dyDescent="0.2">
      <c r="A470" s="20">
        <v>42312</v>
      </c>
      <c r="B470">
        <v>46.32</v>
      </c>
      <c r="C470">
        <f>AVERAGE(B470:B489)</f>
        <v>41.833500000000001</v>
      </c>
      <c r="D470">
        <f>AVERAGE(C470:C569)</f>
        <v>37.933117314393101</v>
      </c>
      <c r="E470">
        <f>MIN(B470:B519)</f>
        <v>34.549999999999997</v>
      </c>
      <c r="F470">
        <f>MAX(B470:B519)</f>
        <v>46.32</v>
      </c>
      <c r="I470" t="str">
        <f t="shared" si="15"/>
        <v>Negative slope</v>
      </c>
      <c r="J470" t="str">
        <f t="shared" si="16"/>
        <v>Negative slope</v>
      </c>
    </row>
    <row r="471" spans="1:10" x14ac:dyDescent="0.2">
      <c r="A471" s="20">
        <v>42313</v>
      </c>
      <c r="B471">
        <v>45.27</v>
      </c>
      <c r="C471">
        <f>AVERAGE(B471:B490)</f>
        <v>41.514000000000003</v>
      </c>
      <c r="D471">
        <f>AVERAGE(C471:C570)</f>
        <v>37.827701566133449</v>
      </c>
      <c r="E471">
        <f>MIN(B471:B520)</f>
        <v>34.549999999999997</v>
      </c>
      <c r="F471">
        <f>MAX(B471:B520)</f>
        <v>45.27</v>
      </c>
      <c r="I471" t="str">
        <f t="shared" si="15"/>
        <v>Negative slope</v>
      </c>
      <c r="J471" t="str">
        <f t="shared" si="16"/>
        <v>Negative slope</v>
      </c>
    </row>
    <row r="472" spans="1:10" x14ac:dyDescent="0.2">
      <c r="A472" s="20">
        <v>42314</v>
      </c>
      <c r="B472">
        <v>44.32</v>
      </c>
      <c r="C472">
        <f>AVERAGE(B472:B491)</f>
        <v>41.304500000000004</v>
      </c>
      <c r="D472">
        <f>AVERAGE(C472:C571)</f>
        <v>37.725304387414944</v>
      </c>
      <c r="E472">
        <f>MIN(B472:B521)</f>
        <v>34.549999999999997</v>
      </c>
      <c r="F472">
        <f>MAX(B472:B521)</f>
        <v>44.32</v>
      </c>
      <c r="I472" t="str">
        <f t="shared" si="15"/>
        <v>Negative slope</v>
      </c>
      <c r="J472" t="str">
        <f t="shared" si="16"/>
        <v>Negative slope</v>
      </c>
    </row>
    <row r="473" spans="1:10" x14ac:dyDescent="0.2">
      <c r="A473" s="20">
        <v>42317</v>
      </c>
      <c r="B473">
        <v>43.87</v>
      </c>
      <c r="C473">
        <f>AVERAGE(B473:B492)</f>
        <v>41.088500000000003</v>
      </c>
      <c r="D473">
        <f>AVERAGE(C473:C572)</f>
        <v>37.623041655626785</v>
      </c>
      <c r="E473">
        <f>MIN(B473:B522)</f>
        <v>34.549999999999997</v>
      </c>
      <c r="F473">
        <f>MAX(B473:B522)</f>
        <v>44.23</v>
      </c>
      <c r="I473" t="str">
        <f t="shared" si="15"/>
        <v>Negative slope</v>
      </c>
      <c r="J473" t="str">
        <f t="shared" si="16"/>
        <v>Negative slope</v>
      </c>
    </row>
    <row r="474" spans="1:10" x14ac:dyDescent="0.2">
      <c r="A474" s="20">
        <v>42318</v>
      </c>
      <c r="B474">
        <v>44.23</v>
      </c>
      <c r="C474">
        <f>AVERAGE(B474:B493)</f>
        <v>40.777000000000001</v>
      </c>
      <c r="D474">
        <f>AVERAGE(C474:C573)</f>
        <v>37.521116410204051</v>
      </c>
      <c r="E474">
        <f>MIN(B474:B523)</f>
        <v>34.549999999999997</v>
      </c>
      <c r="F474">
        <f>MAX(B474:B523)</f>
        <v>44.23</v>
      </c>
      <c r="I474" t="str">
        <f t="shared" si="15"/>
        <v>Negative slope</v>
      </c>
      <c r="J474" t="str">
        <f t="shared" si="16"/>
        <v>Negative slope</v>
      </c>
    </row>
    <row r="475" spans="1:10" x14ac:dyDescent="0.2">
      <c r="A475" s="20">
        <v>42319</v>
      </c>
      <c r="B475">
        <v>42.95</v>
      </c>
      <c r="C475">
        <f>AVERAGE(B475:B494)</f>
        <v>40.438499999999998</v>
      </c>
      <c r="D475">
        <f>AVERAGE(C475:C574)</f>
        <v>37.422453271119323</v>
      </c>
      <c r="E475">
        <f>MIN(B475:B524)</f>
        <v>34.549999999999997</v>
      </c>
      <c r="F475">
        <f>MAX(B475:B524)</f>
        <v>42.95</v>
      </c>
      <c r="I475" t="str">
        <f t="shared" si="15"/>
        <v>Negative slope</v>
      </c>
      <c r="J475" t="str">
        <f t="shared" si="16"/>
        <v>Negative slope</v>
      </c>
    </row>
    <row r="476" spans="1:10" x14ac:dyDescent="0.2">
      <c r="A476" s="20">
        <v>42320</v>
      </c>
      <c r="B476">
        <v>41.74</v>
      </c>
      <c r="C476">
        <f>AVERAGE(B476:B495)</f>
        <v>40.149000000000001</v>
      </c>
      <c r="D476">
        <f>AVERAGE(C476:C575)</f>
        <v>37.328201810841804</v>
      </c>
      <c r="E476">
        <f>MIN(B476:B525)</f>
        <v>34.549999999999997</v>
      </c>
      <c r="F476">
        <f>MAX(B476:B525)</f>
        <v>41.74</v>
      </c>
      <c r="I476" t="str">
        <f t="shared" si="15"/>
        <v>Negative slope</v>
      </c>
      <c r="J476" t="str">
        <f t="shared" si="16"/>
        <v>Negative slope</v>
      </c>
    </row>
    <row r="477" spans="1:10" x14ac:dyDescent="0.2">
      <c r="A477" s="20">
        <v>42321</v>
      </c>
      <c r="B477">
        <v>40.69</v>
      </c>
      <c r="C477">
        <f>AVERAGE(B477:B496)</f>
        <v>39.9</v>
      </c>
      <c r="D477">
        <f>AVERAGE(C477:C576)</f>
        <v>37.237208320868959</v>
      </c>
      <c r="E477">
        <f>MIN(B477:B526)</f>
        <v>34.549999999999997</v>
      </c>
      <c r="F477">
        <f>MAX(B477:B526)</f>
        <v>41.68</v>
      </c>
      <c r="I477" t="str">
        <f t="shared" si="15"/>
        <v>Negative slope</v>
      </c>
      <c r="J477" t="str">
        <f t="shared" si="16"/>
        <v>Negative slope</v>
      </c>
    </row>
    <row r="478" spans="1:10" x14ac:dyDescent="0.2">
      <c r="A478" s="20">
        <v>42324</v>
      </c>
      <c r="B478">
        <v>41.68</v>
      </c>
      <c r="C478">
        <f>AVERAGE(B478:B497)</f>
        <v>39.648000000000003</v>
      </c>
      <c r="D478">
        <f>AVERAGE(C478:C577)</f>
        <v>37.148448598231262</v>
      </c>
      <c r="E478">
        <f>MIN(B478:B527)</f>
        <v>34.549999999999997</v>
      </c>
      <c r="F478">
        <f>MAX(B478:B527)</f>
        <v>41.68</v>
      </c>
      <c r="I478" t="str">
        <f t="shared" si="15"/>
        <v>Negative slope</v>
      </c>
      <c r="J478" t="str">
        <f t="shared" si="16"/>
        <v>Negative slope</v>
      </c>
    </row>
    <row r="479" spans="1:10" x14ac:dyDescent="0.2">
      <c r="A479" s="20">
        <v>42325</v>
      </c>
      <c r="B479">
        <v>40.729999999999997</v>
      </c>
      <c r="C479">
        <f>AVERAGE(B479:B498)</f>
        <v>39.379499999999993</v>
      </c>
      <c r="D479">
        <f>AVERAGE(C479:C578)</f>
        <v>37.062257170584054</v>
      </c>
      <c r="E479">
        <f>MIN(B479:B528)</f>
        <v>34.549999999999997</v>
      </c>
      <c r="F479">
        <f>MAX(B479:B528)</f>
        <v>41.22</v>
      </c>
      <c r="I479" t="str">
        <f t="shared" si="15"/>
        <v>Negative slope</v>
      </c>
      <c r="J479" t="str">
        <f t="shared" si="16"/>
        <v>Negative slope</v>
      </c>
    </row>
    <row r="480" spans="1:10" x14ac:dyDescent="0.2">
      <c r="A480" s="20">
        <v>42326</v>
      </c>
      <c r="B480">
        <v>40.75</v>
      </c>
      <c r="C480">
        <f>AVERAGE(B480:B499)</f>
        <v>39.208999999999996</v>
      </c>
      <c r="D480">
        <f>AVERAGE(C480:C579)</f>
        <v>36.979498498104917</v>
      </c>
      <c r="E480">
        <f>MIN(B480:B529)</f>
        <v>34.549999999999997</v>
      </c>
      <c r="F480">
        <f>MAX(B480:B529)</f>
        <v>41.22</v>
      </c>
      <c r="I480" t="str">
        <f t="shared" si="15"/>
        <v>Negative slope</v>
      </c>
      <c r="J480" t="str">
        <f t="shared" si="16"/>
        <v>Negative slope</v>
      </c>
    </row>
    <row r="481" spans="1:10" x14ac:dyDescent="0.2">
      <c r="A481" s="20">
        <v>42327</v>
      </c>
      <c r="B481">
        <v>40.549999999999997</v>
      </c>
      <c r="C481">
        <f>AVERAGE(B481:B500)</f>
        <v>38.948999999999998</v>
      </c>
      <c r="D481">
        <f>AVERAGE(C481:C580)</f>
        <v>36.896924368405102</v>
      </c>
      <c r="E481">
        <f>MIN(B481:B530)</f>
        <v>34.549999999999997</v>
      </c>
      <c r="F481">
        <f>MAX(B481:B530)</f>
        <v>41.22</v>
      </c>
      <c r="I481" t="str">
        <f t="shared" si="15"/>
        <v>Negative slope</v>
      </c>
      <c r="J481" t="str">
        <f t="shared" si="16"/>
        <v>Negative slope</v>
      </c>
    </row>
    <row r="482" spans="1:10" x14ac:dyDescent="0.2">
      <c r="A482" s="20">
        <v>42328</v>
      </c>
      <c r="B482">
        <v>39.39</v>
      </c>
      <c r="C482">
        <f>AVERAGE(B482:B501)</f>
        <v>38.670499999999997</v>
      </c>
      <c r="D482">
        <f>AVERAGE(C482:C581)</f>
        <v>36.81799838257453</v>
      </c>
      <c r="E482">
        <f>MIN(B482:B531)</f>
        <v>34.549999999999997</v>
      </c>
      <c r="F482">
        <f>MAX(B482:B531)</f>
        <v>41.22</v>
      </c>
      <c r="I482" t="str">
        <f t="shared" si="15"/>
        <v>Negative slope</v>
      </c>
      <c r="J482" t="str">
        <f t="shared" si="16"/>
        <v>Negative slope</v>
      </c>
    </row>
    <row r="483" spans="1:10" x14ac:dyDescent="0.2">
      <c r="A483" s="20">
        <v>42331</v>
      </c>
      <c r="B483">
        <v>39.270000000000003</v>
      </c>
      <c r="C483">
        <f>AVERAGE(B483:B502)</f>
        <v>38.436999999999998</v>
      </c>
      <c r="D483">
        <f>AVERAGE(C483:C582)</f>
        <v>36.743898317877509</v>
      </c>
      <c r="E483">
        <f>MIN(B483:B532)</f>
        <v>34.549999999999997</v>
      </c>
      <c r="F483">
        <f>MAX(B483:B532)</f>
        <v>41.22</v>
      </c>
      <c r="I483" t="str">
        <f t="shared" si="15"/>
        <v>Negative slope</v>
      </c>
      <c r="J483" t="str">
        <f t="shared" si="16"/>
        <v>Negative slope</v>
      </c>
    </row>
    <row r="484" spans="1:10" x14ac:dyDescent="0.2">
      <c r="A484" s="20">
        <v>42332</v>
      </c>
      <c r="B484">
        <v>40.89</v>
      </c>
      <c r="C484">
        <f>AVERAGE(B484:B503)</f>
        <v>38.200999999999993</v>
      </c>
      <c r="D484">
        <f>AVERAGE(C484:C583)</f>
        <v>36.673352414455742</v>
      </c>
      <c r="E484">
        <f>MIN(B484:B533)</f>
        <v>34.549999999999997</v>
      </c>
      <c r="F484">
        <f>MAX(B484:B533)</f>
        <v>41.22</v>
      </c>
      <c r="I484" t="str">
        <f t="shared" si="15"/>
        <v>Negative slope</v>
      </c>
      <c r="J484" t="str">
        <f t="shared" si="16"/>
        <v>Negative slope</v>
      </c>
    </row>
    <row r="485" spans="1:10" x14ac:dyDescent="0.2">
      <c r="A485" s="20">
        <v>42333</v>
      </c>
      <c r="B485">
        <v>41.22</v>
      </c>
      <c r="C485">
        <f>AVERAGE(B485:B504)</f>
        <v>37.962499999999999</v>
      </c>
      <c r="D485">
        <f>AVERAGE(C485:C584)</f>
        <v>36.606932954214692</v>
      </c>
      <c r="E485">
        <f>MIN(B485:B534)</f>
        <v>34.549999999999997</v>
      </c>
      <c r="F485">
        <f>MAX(B485:B534)</f>
        <v>41.22</v>
      </c>
      <c r="I485" t="str">
        <f t="shared" si="15"/>
        <v>Negative slope</v>
      </c>
      <c r="J485" t="str">
        <f t="shared" si="16"/>
        <v>Negative slope</v>
      </c>
    </row>
    <row r="486" spans="1:10" x14ac:dyDescent="0.2">
      <c r="A486" s="20">
        <v>42334</v>
      </c>
      <c r="B486">
        <v>41.22</v>
      </c>
      <c r="C486">
        <f>AVERAGE(B486:B505)</f>
        <v>37.739499999999992</v>
      </c>
      <c r="D486">
        <f>AVERAGE(C486:C585)</f>
        <v>36.545316270315361</v>
      </c>
      <c r="E486">
        <f>MIN(B486:B535)</f>
        <v>34.549999999999997</v>
      </c>
      <c r="F486">
        <f>MAX(B486:B535)</f>
        <v>41.22</v>
      </c>
      <c r="I486" t="str">
        <f t="shared" si="15"/>
        <v>Negative slope</v>
      </c>
      <c r="J486" t="str">
        <f t="shared" si="16"/>
        <v>Negative slope</v>
      </c>
    </row>
    <row r="487" spans="1:10" x14ac:dyDescent="0.2">
      <c r="A487" s="20">
        <v>42335</v>
      </c>
      <c r="B487">
        <v>40.57</v>
      </c>
      <c r="C487">
        <f>AVERAGE(B487:B506)</f>
        <v>37.559499999999993</v>
      </c>
      <c r="D487">
        <f>AVERAGE(C487:C586)</f>
        <v>36.488450378425611</v>
      </c>
      <c r="E487">
        <f>MIN(B487:B536)</f>
        <v>34.549999999999997</v>
      </c>
      <c r="F487">
        <f>MAX(B487:B536)</f>
        <v>41.08</v>
      </c>
      <c r="I487" t="str">
        <f t="shared" si="15"/>
        <v>Negative slope</v>
      </c>
      <c r="J487" t="str">
        <f t="shared" si="16"/>
        <v>Negative slope</v>
      </c>
    </row>
    <row r="488" spans="1:10" x14ac:dyDescent="0.2">
      <c r="A488" s="20">
        <v>42338</v>
      </c>
      <c r="B488">
        <v>40.43</v>
      </c>
      <c r="C488">
        <f>AVERAGE(B488:B507)</f>
        <v>37.348999999999997</v>
      </c>
      <c r="D488">
        <f>AVERAGE(C488:C587)</f>
        <v>36.434897897346893</v>
      </c>
      <c r="E488">
        <f>MIN(B488:B537)</f>
        <v>34.549999999999997</v>
      </c>
      <c r="F488">
        <f>MAX(B488:B537)</f>
        <v>41.08</v>
      </c>
      <c r="I488" t="str">
        <f t="shared" si="15"/>
        <v>Negative slope</v>
      </c>
      <c r="J488" t="str">
        <f t="shared" si="16"/>
        <v>Negative slope</v>
      </c>
    </row>
    <row r="489" spans="1:10" x14ac:dyDescent="0.2">
      <c r="A489" s="20">
        <v>42339</v>
      </c>
      <c r="B489">
        <v>40.58</v>
      </c>
      <c r="C489">
        <f>AVERAGE(B489:B508)</f>
        <v>37.186842105263153</v>
      </c>
      <c r="D489">
        <f>AVERAGE(C489:C588)</f>
        <v>36.386787260365146</v>
      </c>
      <c r="E489">
        <f>MIN(B489:B538)</f>
        <v>34.549999999999997</v>
      </c>
      <c r="F489">
        <f>MAX(B489:B538)</f>
        <v>41.08</v>
      </c>
      <c r="I489" t="str">
        <f t="shared" si="15"/>
        <v>Negative slope</v>
      </c>
      <c r="J489" t="str">
        <f t="shared" si="16"/>
        <v>Negative slope</v>
      </c>
    </row>
    <row r="490" spans="1:10" x14ac:dyDescent="0.2">
      <c r="A490" s="20">
        <v>42340</v>
      </c>
      <c r="B490">
        <v>39.93</v>
      </c>
      <c r="C490">
        <f>AVERAGE(B490:B509)</f>
        <v>36.998333333333328</v>
      </c>
      <c r="D490">
        <f>AVERAGE(C490:C589)</f>
        <v>36.342339768981923</v>
      </c>
      <c r="E490">
        <f>MIN(B490:B539)</f>
        <v>34.549999999999997</v>
      </c>
      <c r="F490">
        <f>MAX(B490:B539)</f>
        <v>41.08</v>
      </c>
      <c r="I490" t="str">
        <f t="shared" si="15"/>
        <v>Negative slope</v>
      </c>
      <c r="J490" t="str">
        <f t="shared" si="16"/>
        <v>Negative slope</v>
      </c>
    </row>
    <row r="491" spans="1:10" x14ac:dyDescent="0.2">
      <c r="A491" s="20">
        <v>42341</v>
      </c>
      <c r="B491">
        <v>41.08</v>
      </c>
      <c r="C491">
        <f>AVERAGE(B491:B510)</f>
        <v>36.825882352941171</v>
      </c>
      <c r="D491">
        <f>AVERAGE(C491:C590)</f>
        <v>36.303751912255372</v>
      </c>
      <c r="E491">
        <f>MIN(B491:B540)</f>
        <v>34.549999999999997</v>
      </c>
      <c r="F491">
        <f>MAX(B491:B540)</f>
        <v>41.08</v>
      </c>
      <c r="I491" t="str">
        <f t="shared" si="15"/>
        <v>Negative slope</v>
      </c>
      <c r="J491" t="str">
        <f t="shared" si="16"/>
        <v>Negative slope</v>
      </c>
    </row>
    <row r="492" spans="1:10" x14ac:dyDescent="0.2">
      <c r="A492" s="20">
        <v>42342</v>
      </c>
      <c r="B492">
        <v>40</v>
      </c>
      <c r="C492">
        <f>AVERAGE(B492:B511)</f>
        <v>36.56</v>
      </c>
      <c r="D492">
        <f>AVERAGE(C492:C591)</f>
        <v>36.271118759712508</v>
      </c>
      <c r="E492">
        <f>MIN(B492:B541)</f>
        <v>34.549999999999997</v>
      </c>
      <c r="F492">
        <f>MAX(B492:B541)</f>
        <v>40</v>
      </c>
      <c r="I492" t="str">
        <f t="shared" si="15"/>
        <v>Negative slope</v>
      </c>
      <c r="J492" t="str">
        <f t="shared" si="16"/>
        <v>Negative slope</v>
      </c>
    </row>
    <row r="493" spans="1:10" x14ac:dyDescent="0.2">
      <c r="A493" s="20">
        <v>42345</v>
      </c>
      <c r="B493">
        <v>37.64</v>
      </c>
      <c r="C493">
        <f>AVERAGE(B493:B512)</f>
        <v>36.330666666666666</v>
      </c>
      <c r="D493">
        <f>AVERAGE(C493:C592)</f>
        <v>36.251860010360005</v>
      </c>
      <c r="E493">
        <f>MIN(B493:B542)</f>
        <v>34.549999999999997</v>
      </c>
      <c r="F493">
        <f>MAX(B493:B542)</f>
        <v>37.64</v>
      </c>
      <c r="I493" t="str">
        <f t="shared" si="15"/>
        <v>Negative slope</v>
      </c>
      <c r="J493" t="str">
        <f t="shared" si="16"/>
        <v>Negative slope</v>
      </c>
    </row>
    <row r="494" spans="1:10" x14ac:dyDescent="0.2">
      <c r="A494" s="20">
        <v>42346</v>
      </c>
      <c r="B494">
        <v>37.46</v>
      </c>
      <c r="C494">
        <f>AVERAGE(B494:B513)</f>
        <v>36.237142857142857</v>
      </c>
      <c r="D494">
        <f>AVERAGE(C494:C593)</f>
        <v>36.246230963480961</v>
      </c>
      <c r="E494">
        <f>MIN(B494:B543)</f>
        <v>34.549999999999997</v>
      </c>
      <c r="F494">
        <f>MAX(B494:B543)</f>
        <v>37.619999999999997</v>
      </c>
      <c r="I494" t="str">
        <f t="shared" si="15"/>
        <v>Negative slope</v>
      </c>
      <c r="J494" t="str">
        <f t="shared" si="16"/>
        <v>Positive slope</v>
      </c>
    </row>
    <row r="495" spans="1:10" x14ac:dyDescent="0.2">
      <c r="A495" s="20">
        <v>42347</v>
      </c>
      <c r="B495">
        <v>37.159999999999997</v>
      </c>
      <c r="C495">
        <f>AVERAGE(B495:B514)</f>
        <v>36.143076923076926</v>
      </c>
      <c r="D495">
        <f>AVERAGE(C495:C594)</f>
        <v>36.246930048583891</v>
      </c>
      <c r="E495">
        <f>MIN(B495:B544)</f>
        <v>34.549999999999997</v>
      </c>
      <c r="F495">
        <f>MAX(B495:B544)</f>
        <v>37.619999999999997</v>
      </c>
      <c r="I495" t="str">
        <f t="shared" si="15"/>
        <v>Negative slope</v>
      </c>
      <c r="J495" t="str">
        <f t="shared" si="16"/>
        <v>Positive slope</v>
      </c>
    </row>
    <row r="496" spans="1:10" x14ac:dyDescent="0.2">
      <c r="A496" s="20">
        <v>42348</v>
      </c>
      <c r="B496">
        <v>36.76</v>
      </c>
      <c r="C496">
        <f>AVERAGE(B496:B515)</f>
        <v>36.05833333333333</v>
      </c>
      <c r="D496">
        <f>AVERAGE(C496:C595)</f>
        <v>36.255584475709483</v>
      </c>
      <c r="E496">
        <f>MIN(B496:B545)</f>
        <v>34.549999999999997</v>
      </c>
      <c r="F496">
        <f>MAX(B496:B545)</f>
        <v>37.619999999999997</v>
      </c>
      <c r="I496" t="str">
        <f t="shared" si="15"/>
        <v>Negative slope</v>
      </c>
      <c r="J496" t="str">
        <f t="shared" si="16"/>
        <v>Positive slope</v>
      </c>
    </row>
    <row r="497" spans="1:10" x14ac:dyDescent="0.2">
      <c r="A497" s="20">
        <v>42349</v>
      </c>
      <c r="B497">
        <v>35.65</v>
      </c>
      <c r="C497">
        <f>AVERAGE(B497:B516)</f>
        <v>35.994545454545452</v>
      </c>
      <c r="D497">
        <f>AVERAGE(C497:C596)</f>
        <v>36.27351639774367</v>
      </c>
      <c r="E497">
        <f>MIN(B497:B546)</f>
        <v>34.549999999999997</v>
      </c>
      <c r="F497">
        <f>MAX(B497:B546)</f>
        <v>37.619999999999997</v>
      </c>
      <c r="I497" t="str">
        <f t="shared" si="15"/>
        <v>Positive slope</v>
      </c>
      <c r="J497" t="str">
        <f t="shared" si="16"/>
        <v>Positive slope</v>
      </c>
    </row>
    <row r="498" spans="1:10" x14ac:dyDescent="0.2">
      <c r="A498" s="20">
        <v>42352</v>
      </c>
      <c r="B498">
        <v>36.31</v>
      </c>
      <c r="C498">
        <f>AVERAGE(B498:B517)</f>
        <v>36.029000000000003</v>
      </c>
      <c r="D498">
        <f>AVERAGE(C498:C597)</f>
        <v>36.301413492063496</v>
      </c>
      <c r="E498">
        <f>MIN(B498:B547)</f>
        <v>34.549999999999997</v>
      </c>
      <c r="F498">
        <f>MAX(B498:B547)</f>
        <v>37.619999999999997</v>
      </c>
      <c r="I498" t="str">
        <f t="shared" si="15"/>
        <v>Negative slope</v>
      </c>
      <c r="J498" t="str">
        <f t="shared" si="16"/>
        <v>Positive slope</v>
      </c>
    </row>
    <row r="499" spans="1:10" x14ac:dyDescent="0.2">
      <c r="A499" s="20">
        <v>42353</v>
      </c>
      <c r="B499">
        <v>37.32</v>
      </c>
      <c r="C499">
        <f>AVERAGE(B499:B518)</f>
        <v>35.997777777777777</v>
      </c>
      <c r="D499">
        <f>AVERAGE(C499:C598)</f>
        <v>36.331681657848328</v>
      </c>
      <c r="E499">
        <f>MIN(B499:B548)</f>
        <v>34.549999999999997</v>
      </c>
      <c r="F499">
        <f>MAX(B499:B548)</f>
        <v>37.619999999999997</v>
      </c>
      <c r="I499" t="str">
        <f t="shared" si="15"/>
        <v>Negative slope</v>
      </c>
      <c r="J499" t="str">
        <f t="shared" si="16"/>
        <v>Positive slope</v>
      </c>
    </row>
    <row r="500" spans="1:10" x14ac:dyDescent="0.2">
      <c r="A500" s="20">
        <v>42354</v>
      </c>
      <c r="B500">
        <v>35.549999999999997</v>
      </c>
      <c r="C500">
        <f>AVERAGE(B500:B519)</f>
        <v>35.832500000000003</v>
      </c>
      <c r="D500">
        <f>AVERAGE(C500:C599)</f>
        <v>36.373419642857144</v>
      </c>
      <c r="E500">
        <f>MIN(B500:B549)</f>
        <v>34.549999999999997</v>
      </c>
      <c r="F500">
        <f>MAX(B500:B549)</f>
        <v>37.619999999999997</v>
      </c>
      <c r="I500" t="str">
        <f t="shared" si="15"/>
        <v>Positive slope</v>
      </c>
      <c r="J500" t="str">
        <f t="shared" si="16"/>
        <v>Positive slope</v>
      </c>
    </row>
    <row r="501" spans="1:10" x14ac:dyDescent="0.2">
      <c r="A501" s="20">
        <v>42355</v>
      </c>
      <c r="B501">
        <v>34.979999999999997</v>
      </c>
      <c r="C501">
        <f>AVERAGE(B501:B520)</f>
        <v>35.872857142857136</v>
      </c>
      <c r="D501">
        <f>AVERAGE(C501:C600)</f>
        <v>36.450693877551018</v>
      </c>
      <c r="E501">
        <f>MIN(B501:B550)</f>
        <v>34.549999999999997</v>
      </c>
      <c r="F501">
        <f>MAX(B501:B550)</f>
        <v>37.619999999999997</v>
      </c>
      <c r="I501" t="str">
        <f t="shared" si="15"/>
        <v>Positive slope</v>
      </c>
      <c r="J501" t="str">
        <f t="shared" si="16"/>
        <v>Positive slope</v>
      </c>
    </row>
    <row r="502" spans="1:10" x14ac:dyDescent="0.2">
      <c r="A502" s="20">
        <v>42356</v>
      </c>
      <c r="B502">
        <v>34.72</v>
      </c>
      <c r="C502">
        <f>AVERAGE(B502:B521)</f>
        <v>36.021666666666668</v>
      </c>
      <c r="D502">
        <f>AVERAGE(C502:C601)</f>
        <v>36.546999999999997</v>
      </c>
      <c r="E502">
        <f>MIN(B502:B551)</f>
        <v>34.549999999999997</v>
      </c>
      <c r="F502">
        <f>MAX(B502:B551)</f>
        <v>37.619999999999997</v>
      </c>
      <c r="I502" t="str">
        <f t="shared" si="15"/>
        <v>Positive slope</v>
      </c>
      <c r="J502" t="str">
        <f t="shared" si="16"/>
        <v>Positive slope</v>
      </c>
    </row>
    <row r="503" spans="1:10" x14ac:dyDescent="0.2">
      <c r="A503" s="20">
        <v>42359</v>
      </c>
      <c r="B503">
        <v>34.549999999999997</v>
      </c>
      <c r="C503">
        <f>AVERAGE(B503:B522)</f>
        <v>36.281999999999996</v>
      </c>
      <c r="D503">
        <f>AVERAGE(C503:C602)</f>
        <v>36.65206666666667</v>
      </c>
      <c r="E503">
        <f>MIN(B503:B552)</f>
        <v>34.549999999999997</v>
      </c>
      <c r="F503">
        <f>MAX(B503:B552)</f>
        <v>37.619999999999997</v>
      </c>
      <c r="I503" t="str">
        <f t="shared" si="15"/>
        <v>Positive slope</v>
      </c>
      <c r="J503" t="str">
        <f t="shared" si="16"/>
        <v>Positive slope</v>
      </c>
    </row>
    <row r="504" spans="1:10" x14ac:dyDescent="0.2">
      <c r="A504" s="20">
        <v>42360</v>
      </c>
      <c r="B504">
        <v>36.119999999999997</v>
      </c>
      <c r="C504">
        <f>AVERAGE(B504:B523)</f>
        <v>36.715000000000003</v>
      </c>
      <c r="D504">
        <f>AVERAGE(C504:C603)</f>
        <v>36.744583333333331</v>
      </c>
      <c r="E504">
        <f>MIN(B504:B553)</f>
        <v>36.119999999999997</v>
      </c>
      <c r="F504">
        <f>MAX(B504:B553)</f>
        <v>37.619999999999997</v>
      </c>
      <c r="I504" t="str">
        <f t="shared" si="15"/>
        <v>Positive slope</v>
      </c>
      <c r="J504" t="str">
        <f t="shared" si="16"/>
        <v>Positive slope</v>
      </c>
    </row>
    <row r="505" spans="1:10" x14ac:dyDescent="0.2">
      <c r="A505" s="20">
        <v>42361</v>
      </c>
      <c r="B505">
        <v>36.76</v>
      </c>
      <c r="C505">
        <f>AVERAGE(B505:B524)</f>
        <v>36.913333333333334</v>
      </c>
      <c r="D505">
        <f>AVERAGE(C505:C604)</f>
        <v>36.754444444444445</v>
      </c>
      <c r="E505">
        <f>MIN(B505:B554)</f>
        <v>36.36</v>
      </c>
      <c r="F505">
        <f>MAX(B505:B554)</f>
        <v>37.619999999999997</v>
      </c>
      <c r="I505" t="str">
        <f t="shared" si="15"/>
        <v>Positive slope</v>
      </c>
      <c r="J505" t="str">
        <f t="shared" si="16"/>
        <v>Negative slope</v>
      </c>
    </row>
    <row r="506" spans="1:10" x14ac:dyDescent="0.2">
      <c r="A506" s="20">
        <v>42362</v>
      </c>
      <c r="B506">
        <v>37.619999999999997</v>
      </c>
      <c r="C506">
        <f>AVERAGE(B506:B525)</f>
        <v>36.989999999999995</v>
      </c>
      <c r="D506">
        <f>AVERAGE(C506:C605)</f>
        <v>36.674999999999997</v>
      </c>
      <c r="E506">
        <f>MIN(B506:B555)</f>
        <v>36.36</v>
      </c>
      <c r="F506">
        <f>MAX(B506:B555)</f>
        <v>37.619999999999997</v>
      </c>
      <c r="I506" t="str">
        <f t="shared" si="15"/>
        <v>Negative slope</v>
      </c>
      <c r="J506" t="str">
        <f t="shared" si="16"/>
        <v>Negative slope</v>
      </c>
    </row>
    <row r="507" spans="1:10" x14ac:dyDescent="0.2">
      <c r="A507" s="20">
        <v>42366</v>
      </c>
      <c r="B507">
        <v>36.36</v>
      </c>
      <c r="C507">
        <f>AVERAGE(B507:B526)</f>
        <v>36.36</v>
      </c>
      <c r="D507">
        <f>AVERAGE(C507:C606)</f>
        <v>36.36</v>
      </c>
      <c r="E507">
        <f>MIN(B507:B556)</f>
        <v>36.36</v>
      </c>
      <c r="F507">
        <f>MAX(B507:B556)</f>
        <v>36.36</v>
      </c>
      <c r="G507">
        <f>MIN(B507:B1012)</f>
        <v>36.36</v>
      </c>
      <c r="H507">
        <f>MAX(B507:B1012)</f>
        <v>36.36</v>
      </c>
      <c r="I507" t="str">
        <f t="shared" si="15"/>
        <v>Negative slope</v>
      </c>
      <c r="J507" t="str">
        <f t="shared" si="16"/>
        <v>Negative slope</v>
      </c>
    </row>
  </sheetData>
  <sortState ref="A2:H508">
    <sortCondition ref="A1"/>
  </sortState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"/>
  <sheetViews>
    <sheetView workbookViewId="0">
      <selection activeCell="H10" sqref="H10"/>
    </sheetView>
  </sheetViews>
  <sheetFormatPr defaultRowHeight="15.75" customHeight="1" x14ac:dyDescent="0.25"/>
  <cols>
    <col min="1" max="1" width="18.7109375" style="3" customWidth="1"/>
    <col min="2" max="2" width="9" style="2" customWidth="1"/>
    <col min="3" max="3" width="3.42578125" style="3" customWidth="1"/>
    <col min="4" max="4" width="12" style="3" customWidth="1"/>
    <col min="5" max="6" width="9.140625" style="3"/>
    <col min="7" max="7" width="11.140625" style="3" customWidth="1"/>
    <col min="8" max="8" width="18.7109375" style="3" customWidth="1"/>
    <col min="9" max="12" width="9.140625" style="3"/>
    <col min="13" max="13" width="13.28515625" style="3" customWidth="1"/>
    <col min="14" max="14" width="14.140625" style="3" customWidth="1"/>
    <col min="15" max="16384" width="9.140625" style="3"/>
  </cols>
  <sheetData>
    <row r="1" spans="1:8" ht="15" x14ac:dyDescent="0.25"/>
    <row r="2" spans="1:8" ht="15" x14ac:dyDescent="0.25">
      <c r="A2" s="6"/>
    </row>
    <row r="3" spans="1:8" ht="31.5" x14ac:dyDescent="0.5">
      <c r="B3" s="3"/>
      <c r="G3" s="5" t="s">
        <v>16</v>
      </c>
    </row>
    <row r="4" spans="1:8" ht="15" x14ac:dyDescent="0.25">
      <c r="B4" s="3"/>
    </row>
    <row r="5" spans="1:8" ht="15" x14ac:dyDescent="0.25">
      <c r="B5" s="3"/>
    </row>
    <row r="7" spans="1:8" thickBot="1" x14ac:dyDescent="0.3"/>
    <row r="8" spans="1:8" ht="15" x14ac:dyDescent="0.25">
      <c r="G8" s="48" t="s">
        <v>36</v>
      </c>
      <c r="H8" s="49"/>
    </row>
    <row r="9" spans="1:8" ht="15" x14ac:dyDescent="0.25">
      <c r="G9" s="50" t="s">
        <v>11</v>
      </c>
      <c r="H9" s="51">
        <v>103</v>
      </c>
    </row>
    <row r="10" spans="1:8" ht="15" x14ac:dyDescent="0.25">
      <c r="G10" s="50" t="s">
        <v>12</v>
      </c>
      <c r="H10" s="51">
        <v>100</v>
      </c>
    </row>
    <row r="11" spans="1:8" ht="15" x14ac:dyDescent="0.25">
      <c r="G11" s="50" t="s">
        <v>10</v>
      </c>
      <c r="H11" s="52">
        <v>2</v>
      </c>
    </row>
    <row r="12" spans="1:8" ht="15" x14ac:dyDescent="0.25">
      <c r="C12" s="1"/>
      <c r="G12" s="50" t="s">
        <v>5</v>
      </c>
      <c r="H12" s="53">
        <v>0.25</v>
      </c>
    </row>
    <row r="13" spans="1:8" ht="15" x14ac:dyDescent="0.25">
      <c r="B13" s="3"/>
      <c r="G13" s="50" t="s">
        <v>0</v>
      </c>
      <c r="H13" s="54">
        <v>0.05</v>
      </c>
    </row>
    <row r="14" spans="1:8" thickBot="1" x14ac:dyDescent="0.3">
      <c r="A14" s="4"/>
      <c r="B14" s="3"/>
      <c r="G14" s="55" t="s">
        <v>8</v>
      </c>
      <c r="H14" s="56">
        <v>0</v>
      </c>
    </row>
    <row r="15" spans="1:8" ht="15" x14ac:dyDescent="0.25">
      <c r="B15" s="3"/>
    </row>
    <row r="16" spans="1:8" ht="15" x14ac:dyDescent="0.25">
      <c r="B16" s="3"/>
      <c r="E16" s="1"/>
    </row>
    <row r="17" spans="2:9" ht="15" x14ac:dyDescent="0.25">
      <c r="B17" s="3"/>
    </row>
    <row r="18" spans="2:9" ht="15" x14ac:dyDescent="0.25">
      <c r="B18" s="3"/>
    </row>
    <row r="19" spans="2:9" ht="15" x14ac:dyDescent="0.25">
      <c r="B19" s="3"/>
    </row>
    <row r="20" spans="2:9" thickBot="1" x14ac:dyDescent="0.3">
      <c r="B20" s="3"/>
    </row>
    <row r="21" spans="2:9" ht="15" x14ac:dyDescent="0.25">
      <c r="B21" s="3"/>
      <c r="G21" s="57" t="s">
        <v>15</v>
      </c>
      <c r="H21" s="58" t="s">
        <v>7</v>
      </c>
      <c r="I21" s="59" t="s">
        <v>14</v>
      </c>
    </row>
    <row r="22" spans="2:9" ht="15" x14ac:dyDescent="0.25">
      <c r="G22" s="50" t="s">
        <v>13</v>
      </c>
      <c r="H22" s="60">
        <f>optionPrice("C",StockPrice4,StrikePrice4,TimeToExpiry4,RiskFreeRate4,Volatility4,Dividend4)</f>
        <v>20.723027598349717</v>
      </c>
      <c r="I22" s="61">
        <f>optionPrice("P",StockPrice4,StrikePrice4,TimeToExpiry4,RiskFreeRate4,Volatility4,Dividend4)</f>
        <v>8.2067694019456709</v>
      </c>
    </row>
    <row r="23" spans="2:9" ht="15" x14ac:dyDescent="0.25">
      <c r="G23" s="50" t="s">
        <v>1</v>
      </c>
      <c r="H23" s="60">
        <f>OptionDelta("C",StockPrice4,StrikePrice4,TimeToExpiry4,RiskFreeRate4,Volatility4,Dividend4)</f>
        <v>0.70651232010005971</v>
      </c>
      <c r="I23" s="61">
        <f>OptionDelta("P",StockPrice4,StrikePrice4,TimeToExpiry4,RiskFreeRate4,Volatility4,Dividend4)</f>
        <v>-0.29348767989994029</v>
      </c>
    </row>
    <row r="24" spans="2:9" ht="15" x14ac:dyDescent="0.25">
      <c r="G24" s="50" t="s">
        <v>2</v>
      </c>
      <c r="H24" s="60">
        <f>_xludf.Gamma(StockPrice4,StrikePrice4,TimeToExpiry4,RiskFreeRate4,Volatility4,Dividend4)</f>
        <v>9.4523387183874201E-3</v>
      </c>
      <c r="I24" s="61">
        <f>_xludf.Gamma(StockPrice4,StrikePrice4,TimeToExpiry4,RiskFreeRate4,Volatility4,Dividend4)</f>
        <v>9.4523387183874201E-3</v>
      </c>
    </row>
    <row r="25" spans="2:9" ht="15" x14ac:dyDescent="0.25">
      <c r="G25" s="50" t="s">
        <v>4</v>
      </c>
      <c r="H25" s="60">
        <f>OptionTheta("C",StockPrice4,StrikePrice4,TimeToExpiry4,RiskFreeRate4,Volatility4,Dividend4)</f>
        <v>-1.5715432162543015E-2</v>
      </c>
      <c r="I25" s="61">
        <f>OptionTheta("P",StockPrice4,StrikePrice4,TimeToExpiry4,RiskFreeRate4,Volatility4,Dividend4)</f>
        <v>-3.3203990387627499E-3</v>
      </c>
    </row>
    <row r="26" spans="2:9" ht="15" x14ac:dyDescent="0.25">
      <c r="G26" s="50" t="s">
        <v>3</v>
      </c>
      <c r="H26" s="60">
        <f>vega(StockPrice4,StrikePrice4,TimeToExpiry4,RiskFreeRate4,Volatility4,Dividend4)</f>
        <v>0.50139930731686078</v>
      </c>
      <c r="I26" s="61">
        <f>vega(StockPrice4,StrikePrice4,TimeToExpiry4,RiskFreeRate4,Volatility4,Dividend4)</f>
        <v>0.50139930731686078</v>
      </c>
    </row>
    <row r="27" spans="2:9" thickBot="1" x14ac:dyDescent="0.3">
      <c r="G27" s="55" t="s">
        <v>6</v>
      </c>
      <c r="H27" s="62">
        <f>OptionRho("C",StockPrice4,StrikePrice4,TimeToExpiry4,RiskFreeRate4,Volatility4,Dividend4)</f>
        <v>1.0409548274391287</v>
      </c>
      <c r="I27" s="63">
        <f>OptionRho("P",StockPrice4,StrikePrice4,TimeToExpiry4,RiskFreeRate4,Volatility4,Dividend4)</f>
        <v>-0.76872000863279033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9"/>
  <sheetViews>
    <sheetView workbookViewId="0">
      <selection activeCell="A28" sqref="A28"/>
    </sheetView>
  </sheetViews>
  <sheetFormatPr defaultRowHeight="12.75" x14ac:dyDescent="0.2"/>
  <cols>
    <col min="1" max="1" width="16.7109375" customWidth="1"/>
    <col min="2" max="2" width="8" customWidth="1"/>
    <col min="4" max="4" width="6.42578125" customWidth="1"/>
    <col min="5" max="5" width="9.85546875" customWidth="1"/>
    <col min="6" max="7" width="12.7109375" customWidth="1"/>
  </cols>
  <sheetData>
    <row r="1" spans="1:19" ht="14.25" customHeight="1" x14ac:dyDescent="0.4">
      <c r="A1" s="7"/>
    </row>
    <row r="2" spans="1:19" x14ac:dyDescent="0.2">
      <c r="A2" s="8"/>
    </row>
    <row r="4" spans="1:19" x14ac:dyDescent="0.2">
      <c r="F4" s="8"/>
      <c r="H4" s="24"/>
      <c r="I4" s="24"/>
      <c r="J4" s="24"/>
      <c r="K4" s="24"/>
      <c r="L4" s="24"/>
      <c r="M4" s="24"/>
      <c r="N4" s="24"/>
      <c r="O4" s="24"/>
      <c r="P4" s="24"/>
      <c r="Q4" s="24"/>
    </row>
    <row r="5" spans="1:19" x14ac:dyDescent="0.2">
      <c r="A5" s="9"/>
      <c r="B5" s="9"/>
      <c r="C5" s="9"/>
      <c r="D5" s="9"/>
      <c r="E5" s="9"/>
      <c r="F5" s="9"/>
      <c r="G5" s="9"/>
      <c r="H5" s="27"/>
      <c r="I5" s="24"/>
      <c r="J5" s="24"/>
      <c r="K5" s="24"/>
      <c r="L5" s="24"/>
      <c r="M5" s="24"/>
      <c r="N5" s="24"/>
      <c r="O5" s="24"/>
      <c r="P5" s="24"/>
      <c r="Q5" s="24"/>
    </row>
    <row r="6" spans="1:19" ht="15" x14ac:dyDescent="0.25">
      <c r="A6" s="35" t="s">
        <v>9</v>
      </c>
      <c r="B6" s="36"/>
      <c r="C6" s="9"/>
      <c r="D6" s="41"/>
      <c r="E6" s="42" t="s">
        <v>15</v>
      </c>
      <c r="F6" s="36"/>
      <c r="G6" s="9"/>
      <c r="H6" s="27"/>
      <c r="I6" s="27"/>
      <c r="J6" s="25"/>
      <c r="K6" s="27"/>
      <c r="L6" s="27"/>
      <c r="M6" s="27"/>
      <c r="N6" s="27"/>
      <c r="O6" s="27"/>
      <c r="P6" s="27"/>
      <c r="Q6" s="27"/>
    </row>
    <row r="7" spans="1:19" ht="18" x14ac:dyDescent="0.35">
      <c r="A7" s="37" t="s">
        <v>17</v>
      </c>
      <c r="B7" s="38">
        <v>65.41</v>
      </c>
      <c r="C7" s="9"/>
      <c r="D7" s="37"/>
      <c r="E7" s="32" t="s">
        <v>18</v>
      </c>
      <c r="F7" s="43"/>
      <c r="G7" s="9"/>
      <c r="H7" s="27"/>
      <c r="I7" s="27"/>
      <c r="J7" s="25"/>
      <c r="K7" s="25"/>
      <c r="L7" s="26"/>
      <c r="M7" s="26"/>
      <c r="N7" s="26"/>
      <c r="O7" s="26"/>
      <c r="P7" s="26"/>
      <c r="Q7" s="27"/>
    </row>
    <row r="8" spans="1:19" ht="15" x14ac:dyDescent="0.25">
      <c r="A8" s="37" t="s">
        <v>21</v>
      </c>
      <c r="B8" s="38">
        <v>65.41</v>
      </c>
      <c r="C8" s="9"/>
      <c r="D8" s="44" t="s">
        <v>7</v>
      </c>
      <c r="E8" s="31">
        <f>B32</f>
        <v>5.070441766122098</v>
      </c>
      <c r="F8" s="38"/>
      <c r="G8" s="9"/>
      <c r="H8" s="27"/>
      <c r="I8" s="25"/>
      <c r="J8" s="27"/>
      <c r="K8" s="27"/>
      <c r="L8" s="28"/>
      <c r="M8" s="28"/>
      <c r="N8" s="28"/>
      <c r="O8" s="28"/>
      <c r="P8" s="28"/>
      <c r="Q8" s="27"/>
    </row>
    <row r="9" spans="1:19" ht="15" x14ac:dyDescent="0.25">
      <c r="A9" s="37" t="s">
        <v>23</v>
      </c>
      <c r="B9" s="38">
        <v>1E-3</v>
      </c>
      <c r="C9" s="9"/>
      <c r="D9" s="45" t="s">
        <v>14</v>
      </c>
      <c r="E9" s="46">
        <f>(B32-B7)+B8*EXP(-B9*B12)</f>
        <v>4.744208030115459</v>
      </c>
      <c r="F9" s="40"/>
      <c r="G9" s="9"/>
      <c r="H9" s="27"/>
      <c r="I9" s="25"/>
      <c r="J9" s="27"/>
      <c r="K9" s="27"/>
      <c r="L9" s="27"/>
      <c r="M9" s="27"/>
      <c r="N9" s="27"/>
      <c r="O9" s="27"/>
      <c r="P9" s="27"/>
      <c r="Q9" s="27"/>
    </row>
    <row r="10" spans="1:19" x14ac:dyDescent="0.2">
      <c r="A10" s="37" t="s">
        <v>5</v>
      </c>
      <c r="B10" s="38">
        <v>0.18410000000000001</v>
      </c>
      <c r="C10" s="9"/>
      <c r="D10" s="9"/>
      <c r="E10" s="9"/>
      <c r="F10" s="9"/>
      <c r="G10" s="9"/>
      <c r="H10" s="27"/>
      <c r="I10" s="25"/>
      <c r="J10" s="27"/>
      <c r="K10" s="27"/>
      <c r="L10" s="27"/>
      <c r="M10" s="27"/>
      <c r="N10" s="27"/>
      <c r="O10" s="27"/>
      <c r="P10" s="27"/>
      <c r="Q10" s="27"/>
      <c r="R10" s="9"/>
      <c r="S10" s="9"/>
    </row>
    <row r="11" spans="1:19" x14ac:dyDescent="0.2">
      <c r="A11" s="37" t="s">
        <v>24</v>
      </c>
      <c r="B11" s="38">
        <v>1</v>
      </c>
      <c r="C11" s="9"/>
      <c r="D11" s="9"/>
      <c r="E11" s="9"/>
      <c r="F11" s="9"/>
      <c r="G11" s="9"/>
      <c r="H11" s="27"/>
      <c r="I11" s="25"/>
      <c r="J11" s="27"/>
      <c r="K11" s="27"/>
      <c r="L11" s="27"/>
      <c r="M11" s="27"/>
      <c r="N11" s="27"/>
      <c r="O11" s="27"/>
      <c r="P11" s="27"/>
      <c r="Q11" s="27"/>
      <c r="R11" s="9"/>
      <c r="S11" s="9"/>
    </row>
    <row r="12" spans="1:19" x14ac:dyDescent="0.2">
      <c r="A12" s="37" t="s">
        <v>25</v>
      </c>
      <c r="B12" s="38">
        <v>5</v>
      </c>
      <c r="C12" s="9"/>
      <c r="D12" s="9"/>
      <c r="E12" s="9"/>
      <c r="F12" s="9"/>
      <c r="G12" s="9"/>
      <c r="H12" s="25"/>
      <c r="I12" s="25"/>
      <c r="J12" s="27"/>
      <c r="K12" s="27"/>
      <c r="L12" s="27"/>
      <c r="M12" s="27"/>
      <c r="N12" s="27"/>
      <c r="O12" s="27"/>
      <c r="P12" s="27"/>
      <c r="Q12" s="26"/>
      <c r="R12" s="10"/>
      <c r="S12" s="10"/>
    </row>
    <row r="13" spans="1:19" x14ac:dyDescent="0.2">
      <c r="A13" s="39" t="s">
        <v>8</v>
      </c>
      <c r="B13" s="40">
        <v>0</v>
      </c>
      <c r="C13" s="9"/>
      <c r="D13" s="9"/>
      <c r="E13" s="9"/>
      <c r="F13" s="9"/>
      <c r="G13" s="9"/>
      <c r="H13" s="29"/>
      <c r="I13" s="27"/>
      <c r="J13" s="27"/>
      <c r="K13" s="25"/>
      <c r="L13" s="27"/>
      <c r="M13" s="27"/>
      <c r="N13" s="27"/>
      <c r="O13" s="28"/>
      <c r="P13" s="28"/>
      <c r="Q13" s="28"/>
      <c r="R13" s="11"/>
      <c r="S13" s="11"/>
    </row>
    <row r="14" spans="1:19" x14ac:dyDescent="0.2">
      <c r="A14" s="9"/>
      <c r="B14" s="9"/>
      <c r="C14" s="9"/>
      <c r="D14" s="9"/>
      <c r="E14" s="9"/>
      <c r="F14" s="9"/>
      <c r="G14" s="9"/>
      <c r="H14" s="29"/>
      <c r="I14" s="30"/>
      <c r="J14" s="27"/>
      <c r="K14" s="25"/>
      <c r="L14" s="27"/>
      <c r="M14" s="27"/>
      <c r="N14" s="27"/>
      <c r="O14" s="27"/>
      <c r="P14" s="27"/>
      <c r="Q14" s="27"/>
      <c r="R14" s="9"/>
      <c r="S14" s="9"/>
    </row>
    <row r="15" spans="1:19" ht="15" x14ac:dyDescent="0.25">
      <c r="A15" s="35" t="s">
        <v>26</v>
      </c>
      <c r="B15" s="47"/>
      <c r="C15" s="47"/>
      <c r="D15" s="47"/>
      <c r="E15" s="47"/>
      <c r="F15" s="47"/>
      <c r="G15" s="36"/>
      <c r="H15" s="29"/>
      <c r="I15" s="24"/>
      <c r="J15" s="24"/>
      <c r="K15" s="24"/>
      <c r="L15" s="24"/>
      <c r="M15" s="24"/>
      <c r="N15" s="24"/>
      <c r="O15" s="24"/>
      <c r="P15" s="24"/>
      <c r="Q15" s="24"/>
    </row>
    <row r="16" spans="1:19" x14ac:dyDescent="0.2">
      <c r="A16" s="37" t="s">
        <v>27</v>
      </c>
      <c r="B16" s="31">
        <f>Time_to_maturity/nsteps2</f>
        <v>0.2</v>
      </c>
      <c r="C16" s="31"/>
      <c r="D16" s="31"/>
      <c r="E16" s="31"/>
      <c r="F16" s="31"/>
      <c r="G16" s="38"/>
      <c r="H16" s="29"/>
      <c r="I16" s="24"/>
      <c r="J16" s="24"/>
      <c r="K16" s="24"/>
      <c r="L16" s="24"/>
      <c r="M16" s="24"/>
      <c r="N16" s="24"/>
      <c r="O16" s="24"/>
      <c r="P16" s="24"/>
      <c r="Q16" s="24"/>
    </row>
    <row r="17" spans="1:17" x14ac:dyDescent="0.2">
      <c r="A17" s="37" t="s">
        <v>28</v>
      </c>
      <c r="B17" s="31">
        <f>EXP(B10*SQRT(B16))</f>
        <v>1.0858162658861152</v>
      </c>
      <c r="C17" s="33" t="s">
        <v>29</v>
      </c>
      <c r="D17" s="31"/>
      <c r="E17" s="31"/>
      <c r="F17" s="31"/>
      <c r="G17" s="38"/>
      <c r="H17" s="29"/>
      <c r="I17" s="24"/>
      <c r="J17" s="24"/>
      <c r="K17" s="24"/>
      <c r="L17" s="24"/>
      <c r="M17" s="24"/>
      <c r="N17" s="24"/>
      <c r="O17" s="24"/>
      <c r="P17" s="24"/>
      <c r="Q17" s="24"/>
    </row>
    <row r="18" spans="1:17" x14ac:dyDescent="0.2">
      <c r="A18" s="37" t="s">
        <v>30</v>
      </c>
      <c r="B18" s="31">
        <f>1/B17</f>
        <v>0.92096612605440931</v>
      </c>
      <c r="C18" s="33" t="s">
        <v>31</v>
      </c>
      <c r="D18" s="31"/>
      <c r="E18" s="31"/>
      <c r="F18" s="31"/>
      <c r="G18" s="38"/>
      <c r="H18" s="29"/>
      <c r="I18" s="24"/>
      <c r="J18" s="24"/>
      <c r="K18" s="24"/>
      <c r="L18" s="24"/>
      <c r="M18" s="24"/>
      <c r="N18" s="24"/>
      <c r="O18" s="24"/>
      <c r="P18" s="24"/>
      <c r="Q18" s="24"/>
    </row>
    <row r="19" spans="1:17" ht="15" x14ac:dyDescent="0.25">
      <c r="A19" s="37" t="s">
        <v>32</v>
      </c>
      <c r="B19" s="34">
        <f>(EXP(B9*B16)-B18)/(B17-B18)</f>
        <v>0.48064195776729907</v>
      </c>
      <c r="C19" s="31"/>
      <c r="D19" s="31"/>
      <c r="E19" s="31"/>
      <c r="F19" s="31"/>
      <c r="G19" s="38"/>
      <c r="H19" s="9"/>
    </row>
    <row r="20" spans="1:17" x14ac:dyDescent="0.2">
      <c r="A20" s="37" t="s">
        <v>33</v>
      </c>
      <c r="B20" s="31">
        <f>EXP(-B9*B16)</f>
        <v>0.99980001999866674</v>
      </c>
      <c r="C20" s="31"/>
      <c r="D20" s="31"/>
      <c r="E20" s="31"/>
      <c r="F20" s="31"/>
      <c r="G20" s="38"/>
      <c r="H20" s="9"/>
    </row>
    <row r="21" spans="1:17" ht="15" x14ac:dyDescent="0.25">
      <c r="A21" s="44"/>
      <c r="B21" s="31"/>
      <c r="C21" s="31"/>
      <c r="D21" s="31"/>
      <c r="E21" s="31"/>
      <c r="F21" s="31"/>
      <c r="G21" s="38"/>
      <c r="H21" s="9"/>
    </row>
    <row r="22" spans="1:17" x14ac:dyDescent="0.2">
      <c r="A22" s="37" t="s">
        <v>34</v>
      </c>
      <c r="B22" s="31">
        <v>0</v>
      </c>
      <c r="C22" s="31">
        <v>1</v>
      </c>
      <c r="D22" s="31">
        <v>2</v>
      </c>
      <c r="E22" s="31">
        <v>3</v>
      </c>
      <c r="F22" s="31">
        <v>4</v>
      </c>
      <c r="G22" s="38">
        <v>5</v>
      </c>
      <c r="H22" s="9"/>
    </row>
    <row r="23" spans="1:17" x14ac:dyDescent="0.2">
      <c r="A23" s="37" t="s">
        <v>35</v>
      </c>
      <c r="B23" s="31">
        <f t="shared" ref="B23:G23" si="0">B22*$B$16</f>
        <v>0</v>
      </c>
      <c r="C23" s="31">
        <f t="shared" si="0"/>
        <v>0.2</v>
      </c>
      <c r="D23" s="31">
        <f t="shared" si="0"/>
        <v>0.4</v>
      </c>
      <c r="E23" s="31">
        <f t="shared" si="0"/>
        <v>0.60000000000000009</v>
      </c>
      <c r="F23" s="31">
        <f t="shared" si="0"/>
        <v>0.8</v>
      </c>
      <c r="G23" s="38">
        <f t="shared" si="0"/>
        <v>1</v>
      </c>
      <c r="H23" s="9"/>
      <c r="K23" s="9"/>
    </row>
    <row r="24" spans="1:17" x14ac:dyDescent="0.2">
      <c r="A24" s="37"/>
      <c r="B24" s="31"/>
      <c r="C24" s="31"/>
      <c r="D24" s="31"/>
      <c r="E24" s="31"/>
      <c r="F24" s="31"/>
      <c r="G24" s="38"/>
      <c r="H24" s="9"/>
    </row>
    <row r="25" spans="1:17" x14ac:dyDescent="0.2">
      <c r="A25" s="37" t="s">
        <v>11</v>
      </c>
      <c r="B25" s="31">
        <f>B7</f>
        <v>65.41</v>
      </c>
      <c r="C25" s="31">
        <f>B25*$B$17</f>
        <v>71.0232419516108</v>
      </c>
      <c r="D25" s="31">
        <f>C25*$B$17</f>
        <v>77.118191367024124</v>
      </c>
      <c r="E25" s="31">
        <f>D25*$B$17</f>
        <v>83.736186582032985</v>
      </c>
      <c r="F25" s="31">
        <f>E25*$B$17</f>
        <v>90.922113434046082</v>
      </c>
      <c r="G25" s="38">
        <f>F25*$B$17</f>
        <v>98.724709695429709</v>
      </c>
      <c r="H25" s="9"/>
    </row>
    <row r="26" spans="1:17" x14ac:dyDescent="0.2">
      <c r="A26" s="37"/>
      <c r="B26" s="31"/>
      <c r="C26" s="31">
        <f>B25*$B$18</f>
        <v>60.240394305218906</v>
      </c>
      <c r="D26" s="31">
        <f>C25*$B$18</f>
        <v>65.41</v>
      </c>
      <c r="E26" s="31">
        <f>D25*$B$18</f>
        <v>71.0232419516108</v>
      </c>
      <c r="F26" s="31">
        <f>E25*$B$18</f>
        <v>77.118191367024124</v>
      </c>
      <c r="G26" s="38">
        <f>F25*$B$18</f>
        <v>83.736186582032985</v>
      </c>
      <c r="H26" s="9"/>
    </row>
    <row r="27" spans="1:17" x14ac:dyDescent="0.2">
      <c r="A27" s="37"/>
      <c r="B27" s="31"/>
      <c r="C27" s="31"/>
      <c r="D27" s="31">
        <f>C26*$B$18</f>
        <v>55.479362575267558</v>
      </c>
      <c r="E27" s="31">
        <f>D26*$B$18</f>
        <v>60.240394305218906</v>
      </c>
      <c r="F27" s="31">
        <f>E26*$B$18</f>
        <v>65.41</v>
      </c>
      <c r="G27" s="38">
        <f>F26*$B$18</f>
        <v>71.0232419516108</v>
      </c>
      <c r="H27" s="9"/>
    </row>
    <row r="28" spans="1:17" x14ac:dyDescent="0.2">
      <c r="A28" s="37"/>
      <c r="B28" s="31"/>
      <c r="C28" s="31"/>
      <c r="D28" s="31"/>
      <c r="E28" s="31">
        <f>D27*$B$18</f>
        <v>51.094613626912142</v>
      </c>
      <c r="F28" s="31">
        <f>E27*$B$18</f>
        <v>55.479362575267558</v>
      </c>
      <c r="G28" s="38">
        <f>F27*$B$18</f>
        <v>60.240394305218906</v>
      </c>
      <c r="H28" s="9"/>
      <c r="K28" s="9"/>
      <c r="L28" s="9"/>
    </row>
    <row r="29" spans="1:17" x14ac:dyDescent="0.2">
      <c r="A29" s="37"/>
      <c r="B29" s="31"/>
      <c r="C29" s="31"/>
      <c r="D29" s="31"/>
      <c r="E29" s="31"/>
      <c r="F29" s="31">
        <f>E28*$B$18</f>
        <v>47.056408374224105</v>
      </c>
      <c r="G29" s="38">
        <f>F28*$B$18</f>
        <v>51.094613626912142</v>
      </c>
      <c r="H29" s="9"/>
      <c r="K29" s="9"/>
      <c r="L29" s="9"/>
    </row>
    <row r="30" spans="1:17" x14ac:dyDescent="0.2">
      <c r="A30" s="37"/>
      <c r="B30" s="31"/>
      <c r="C30" s="31"/>
      <c r="D30" s="31"/>
      <c r="E30" s="31"/>
      <c r="F30" s="31"/>
      <c r="G30" s="38">
        <f>F29*$B$18</f>
        <v>43.337358126443441</v>
      </c>
      <c r="H30" s="9"/>
      <c r="K30" s="9"/>
      <c r="L30" s="9"/>
    </row>
    <row r="31" spans="1:17" x14ac:dyDescent="0.2">
      <c r="A31" s="37"/>
      <c r="B31" s="31"/>
      <c r="C31" s="31"/>
      <c r="D31" s="31"/>
      <c r="E31" s="31"/>
      <c r="F31" s="31"/>
      <c r="G31" s="38"/>
      <c r="H31" s="9"/>
    </row>
    <row r="32" spans="1:17" x14ac:dyDescent="0.2">
      <c r="A32" s="37" t="s">
        <v>13</v>
      </c>
      <c r="B32" s="31">
        <f>($B$19*C32+(1-$B$19)*C33)*$B$20</f>
        <v>5.070441766122098</v>
      </c>
      <c r="C32" s="31">
        <f>($B$19*D32+(1-$B$19)*D33)*$B$20</f>
        <v>8.0974516522393198</v>
      </c>
      <c r="D32" s="31">
        <f>($B$19*E32+(1-$B$19)*E33)*$B$20</f>
        <v>12.471190342174017</v>
      </c>
      <c r="E32" s="31">
        <f>($B$19*F32+(1-$B$19)*F33)*$B$20</f>
        <v>18.352345349930633</v>
      </c>
      <c r="F32" s="31">
        <f>($B$19*G32+(1-$B$19)*G33)*$B$20</f>
        <v>25.525194125933297</v>
      </c>
      <c r="G32" s="38">
        <f t="shared" ref="G32:G37" si="1">MAX(0,(G25-$B$8))</f>
        <v>33.314709695429713</v>
      </c>
      <c r="H32" s="9"/>
    </row>
    <row r="33" spans="1:8" x14ac:dyDescent="0.2">
      <c r="A33" s="37"/>
      <c r="B33" s="31"/>
      <c r="C33" s="31">
        <f>($B$19*D33+(1-$B$19)*D34)*$B$20</f>
        <v>2.2710362503717412</v>
      </c>
      <c r="D33" s="31">
        <f>($B$19*E33+(1-$B$19)*E34)*$B$20</f>
        <v>4.0528764197615681</v>
      </c>
      <c r="E33" s="31">
        <f>($B$19*F33+(1-$B$19)*F34)*$B$20</f>
        <v>7.0332551612515459</v>
      </c>
      <c r="F33" s="31">
        <f>($B$19*G33+(1-$B$19)*G34)*$B$20</f>
        <v>11.721272058911342</v>
      </c>
      <c r="G33" s="38">
        <f t="shared" si="1"/>
        <v>18.326186582032989</v>
      </c>
      <c r="H33" s="9"/>
    </row>
    <row r="34" spans="1:8" x14ac:dyDescent="0.2">
      <c r="A34" s="37"/>
      <c r="B34" s="31"/>
      <c r="C34" s="31"/>
      <c r="D34" s="31">
        <f>($B$19*E34+(1-$B$19)*E35)*$B$20</f>
        <v>0.62289984895910744</v>
      </c>
      <c r="E34" s="31">
        <f>($B$19*F34+(1-$B$19)*F35)*$B$20</f>
        <v>1.2962339873152766</v>
      </c>
      <c r="F34" s="31">
        <f>($B$19*G34+(1-$B$19)*G35)*$B$20</f>
        <v>2.6974200630791372</v>
      </c>
      <c r="G34" s="38">
        <f t="shared" si="1"/>
        <v>5.613241951610803</v>
      </c>
      <c r="H34" s="9"/>
    </row>
    <row r="35" spans="1:8" x14ac:dyDescent="0.2">
      <c r="A35" s="37"/>
      <c r="B35" s="31"/>
      <c r="C35" s="31"/>
      <c r="D35" s="31"/>
      <c r="E35" s="31">
        <f>($B$19*F35+(1-$B$19)*F36)*$B$20</f>
        <v>0</v>
      </c>
      <c r="F35" s="31">
        <f>($B$19*G35+(1-$B$19)*G36)*$B$20</f>
        <v>0</v>
      </c>
      <c r="G35" s="38">
        <f t="shared" si="1"/>
        <v>0</v>
      </c>
      <c r="H35" s="9"/>
    </row>
    <row r="36" spans="1:8" x14ac:dyDescent="0.2">
      <c r="A36" s="37"/>
      <c r="B36" s="31"/>
      <c r="C36" s="31"/>
      <c r="D36" s="31"/>
      <c r="E36" s="31"/>
      <c r="F36" s="31">
        <f>($B$19*G36+(1-$B$19)*G37)*$B$20</f>
        <v>0</v>
      </c>
      <c r="G36" s="38">
        <f t="shared" si="1"/>
        <v>0</v>
      </c>
      <c r="H36" s="9"/>
    </row>
    <row r="37" spans="1:8" x14ac:dyDescent="0.2">
      <c r="A37" s="39"/>
      <c r="B37" s="46"/>
      <c r="C37" s="46"/>
      <c r="D37" s="46"/>
      <c r="E37" s="46"/>
      <c r="F37" s="46"/>
      <c r="G37" s="40">
        <f t="shared" si="1"/>
        <v>0</v>
      </c>
      <c r="H37" s="9"/>
    </row>
    <row r="38" spans="1:8" x14ac:dyDescent="0.2">
      <c r="A38" s="9"/>
      <c r="B38" s="9"/>
      <c r="C38" s="9"/>
      <c r="D38" s="9"/>
      <c r="E38" s="9"/>
      <c r="F38" s="9"/>
      <c r="G38" s="9"/>
      <c r="H38" s="9"/>
    </row>
    <row r="39" spans="1:8" x14ac:dyDescent="0.2">
      <c r="A39" s="9"/>
      <c r="B39" s="9"/>
      <c r="C39" s="9"/>
      <c r="D39" s="9"/>
      <c r="E39" s="9"/>
      <c r="F39" s="9"/>
      <c r="G39" s="9"/>
      <c r="H39" s="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507"/>
  <sheetViews>
    <sheetView workbookViewId="0">
      <selection activeCell="M5" sqref="M5"/>
    </sheetView>
  </sheetViews>
  <sheetFormatPr defaultRowHeight="12.75" x14ac:dyDescent="0.2"/>
  <cols>
    <col min="1" max="1" width="11.5703125" customWidth="1"/>
    <col min="3" max="3" width="27.85546875" customWidth="1"/>
    <col min="4" max="4" width="11.28515625" customWidth="1"/>
    <col min="5" max="5" width="11.5703125" customWidth="1"/>
    <col min="7" max="7" width="10.140625" customWidth="1"/>
    <col min="11" max="11" width="9" customWidth="1"/>
    <col min="17" max="17" width="17.42578125" customWidth="1"/>
  </cols>
  <sheetData>
    <row r="1" spans="1:24" x14ac:dyDescent="0.2">
      <c r="A1" t="s">
        <v>56</v>
      </c>
      <c r="B1" t="s">
        <v>22</v>
      </c>
      <c r="C1" t="s">
        <v>57</v>
      </c>
      <c r="D1" t="s">
        <v>75</v>
      </c>
      <c r="E1" t="s">
        <v>76</v>
      </c>
      <c r="F1" t="s">
        <v>69</v>
      </c>
      <c r="G1" t="s">
        <v>70</v>
      </c>
      <c r="H1" t="s">
        <v>58</v>
      </c>
    </row>
    <row r="2" spans="1:24" x14ac:dyDescent="0.2">
      <c r="A2" s="20">
        <v>42366</v>
      </c>
      <c r="B2">
        <v>36.36</v>
      </c>
      <c r="C2">
        <f t="shared" ref="C2:C65" si="0">AVERAGE(B2:B22)</f>
        <v>37.502380952380953</v>
      </c>
      <c r="D2">
        <f>MIN(B2:B51)</f>
        <v>34.549999999999997</v>
      </c>
      <c r="E2">
        <f>MAX(B2:B51)</f>
        <v>47.88</v>
      </c>
      <c r="F2">
        <f>MIN(B2:B507)</f>
        <v>34.549999999999997</v>
      </c>
      <c r="G2">
        <f>MAX(B2:B507)</f>
        <v>107.95</v>
      </c>
      <c r="H2" t="str">
        <f t="shared" ref="H2:H65" si="1">IF((C2-C3)&gt;0, "Positive slope", "Negative slope")</f>
        <v>Negative slope</v>
      </c>
    </row>
    <row r="3" spans="1:24" x14ac:dyDescent="0.2">
      <c r="A3" s="20">
        <v>42362</v>
      </c>
      <c r="B3">
        <v>37.619999999999997</v>
      </c>
      <c r="C3">
        <f t="shared" si="0"/>
        <v>37.733809523809519</v>
      </c>
      <c r="D3">
        <f t="shared" ref="D3:D66" si="2">MIN(B3:B52)</f>
        <v>34.549999999999997</v>
      </c>
      <c r="E3">
        <f t="shared" ref="E3:E66" si="3">MAX(B3:B52)</f>
        <v>47.88</v>
      </c>
      <c r="H3" t="str">
        <f t="shared" si="1"/>
        <v>Negative slope</v>
      </c>
    </row>
    <row r="4" spans="1:24" x14ac:dyDescent="0.2">
      <c r="A4" s="20">
        <v>42361</v>
      </c>
      <c r="B4">
        <v>36.76</v>
      </c>
      <c r="C4">
        <f t="shared" si="0"/>
        <v>37.90523809523809</v>
      </c>
      <c r="D4">
        <f t="shared" si="2"/>
        <v>34.549999999999997</v>
      </c>
      <c r="E4">
        <f t="shared" si="3"/>
        <v>47.88</v>
      </c>
      <c r="H4" t="str">
        <f t="shared" si="1"/>
        <v>Negative slope</v>
      </c>
    </row>
    <row r="5" spans="1:24" x14ac:dyDescent="0.2">
      <c r="A5" s="20">
        <v>42360</v>
      </c>
      <c r="B5">
        <v>36.119999999999997</v>
      </c>
      <c r="C5">
        <f t="shared" si="0"/>
        <v>38.101904761904756</v>
      </c>
      <c r="D5">
        <f t="shared" si="2"/>
        <v>34.549999999999997</v>
      </c>
      <c r="E5">
        <f t="shared" si="3"/>
        <v>47.88</v>
      </c>
      <c r="H5" t="str">
        <f t="shared" si="1"/>
        <v>Negative slope</v>
      </c>
      <c r="K5" t="s">
        <v>72</v>
      </c>
      <c r="R5" t="s">
        <v>117</v>
      </c>
    </row>
    <row r="6" spans="1:24" x14ac:dyDescent="0.2">
      <c r="A6" s="20">
        <v>42359</v>
      </c>
      <c r="B6">
        <v>34.549999999999997</v>
      </c>
      <c r="C6">
        <f t="shared" si="0"/>
        <v>38.251904761904761</v>
      </c>
      <c r="D6">
        <f t="shared" si="2"/>
        <v>34.549999999999997</v>
      </c>
      <c r="E6">
        <f t="shared" si="3"/>
        <v>47.88</v>
      </c>
      <c r="H6" t="str">
        <f t="shared" si="1"/>
        <v>Negative slope</v>
      </c>
    </row>
    <row r="7" spans="1:24" x14ac:dyDescent="0.2">
      <c r="A7" s="20">
        <v>42356</v>
      </c>
      <c r="B7">
        <v>34.72</v>
      </c>
      <c r="C7">
        <f t="shared" si="0"/>
        <v>38.48238095238095</v>
      </c>
      <c r="D7">
        <f t="shared" si="2"/>
        <v>34.72</v>
      </c>
      <c r="E7">
        <f t="shared" si="3"/>
        <v>47.88</v>
      </c>
      <c r="H7" t="str">
        <f t="shared" si="1"/>
        <v>Negative slope</v>
      </c>
      <c r="K7" t="s">
        <v>73</v>
      </c>
      <c r="R7" t="s">
        <v>74</v>
      </c>
    </row>
    <row r="8" spans="1:24" x14ac:dyDescent="0.2">
      <c r="A8" s="20">
        <v>42355</v>
      </c>
      <c r="B8">
        <v>34.979999999999997</v>
      </c>
      <c r="C8">
        <f t="shared" si="0"/>
        <v>38.76</v>
      </c>
      <c r="D8">
        <f t="shared" si="2"/>
        <v>34.979999999999997</v>
      </c>
      <c r="E8">
        <f t="shared" si="3"/>
        <v>49.67</v>
      </c>
      <c r="H8" t="str">
        <f t="shared" si="1"/>
        <v>Negative slope</v>
      </c>
    </row>
    <row r="9" spans="1:24" x14ac:dyDescent="0.2">
      <c r="A9" s="20">
        <v>42354</v>
      </c>
      <c r="B9">
        <v>35.549999999999997</v>
      </c>
      <c r="C9">
        <f t="shared" si="0"/>
        <v>39.034761904761901</v>
      </c>
      <c r="D9">
        <f t="shared" si="2"/>
        <v>35.549999999999997</v>
      </c>
      <c r="E9">
        <f t="shared" si="3"/>
        <v>49.67</v>
      </c>
      <c r="H9" t="str">
        <f t="shared" si="1"/>
        <v>Negative slope</v>
      </c>
      <c r="K9" s="22" t="s">
        <v>118</v>
      </c>
      <c r="R9" t="s">
        <v>121</v>
      </c>
    </row>
    <row r="10" spans="1:24" x14ac:dyDescent="0.2">
      <c r="A10" s="20">
        <v>42353</v>
      </c>
      <c r="B10">
        <v>37.32</v>
      </c>
      <c r="C10">
        <f t="shared" si="0"/>
        <v>39.28142857142857</v>
      </c>
      <c r="D10">
        <f t="shared" si="2"/>
        <v>35.65</v>
      </c>
      <c r="E10">
        <f t="shared" si="3"/>
        <v>49.67</v>
      </c>
      <c r="H10" t="str">
        <f t="shared" si="1"/>
        <v>Negative slope</v>
      </c>
    </row>
    <row r="11" spans="1:24" x14ac:dyDescent="0.2">
      <c r="A11" s="20">
        <v>42352</v>
      </c>
      <c r="B11">
        <v>36.31</v>
      </c>
      <c r="C11">
        <f t="shared" si="0"/>
        <v>39.489047619047611</v>
      </c>
      <c r="D11">
        <f t="shared" si="2"/>
        <v>35.65</v>
      </c>
      <c r="E11">
        <f t="shared" si="3"/>
        <v>49.67</v>
      </c>
      <c r="H11" t="str">
        <f t="shared" si="1"/>
        <v>Negative slope</v>
      </c>
    </row>
    <row r="12" spans="1:24" x14ac:dyDescent="0.2">
      <c r="A12" s="20">
        <v>42349</v>
      </c>
      <c r="B12">
        <v>35.65</v>
      </c>
      <c r="C12">
        <f t="shared" si="0"/>
        <v>39.697619047619042</v>
      </c>
      <c r="D12">
        <f t="shared" si="2"/>
        <v>35.65</v>
      </c>
      <c r="E12">
        <f t="shared" si="3"/>
        <v>49.67</v>
      </c>
      <c r="H12" t="str">
        <f t="shared" si="1"/>
        <v>Negative slope</v>
      </c>
    </row>
    <row r="13" spans="1:24" x14ac:dyDescent="0.2">
      <c r="A13" s="20">
        <v>42348</v>
      </c>
      <c r="B13">
        <v>36.76</v>
      </c>
      <c r="C13">
        <f t="shared" si="0"/>
        <v>39.987619047619035</v>
      </c>
      <c r="D13">
        <f t="shared" si="2"/>
        <v>36.76</v>
      </c>
      <c r="E13">
        <f t="shared" si="3"/>
        <v>49.67</v>
      </c>
      <c r="H13" t="str">
        <f t="shared" si="1"/>
        <v>Negative slope</v>
      </c>
    </row>
    <row r="14" spans="1:24" x14ac:dyDescent="0.2">
      <c r="A14" s="20">
        <v>42347</v>
      </c>
      <c r="B14">
        <v>37.159999999999997</v>
      </c>
      <c r="C14">
        <f t="shared" si="0"/>
        <v>40.282380952380947</v>
      </c>
      <c r="D14">
        <f t="shared" si="2"/>
        <v>37.159999999999997</v>
      </c>
      <c r="E14">
        <f t="shared" si="3"/>
        <v>49.67</v>
      </c>
      <c r="H14" t="str">
        <f t="shared" si="1"/>
        <v>Negative slope</v>
      </c>
    </row>
    <row r="15" spans="1:24" x14ac:dyDescent="0.2">
      <c r="A15" s="20">
        <v>42346</v>
      </c>
      <c r="B15">
        <v>37.46</v>
      </c>
      <c r="C15">
        <f t="shared" si="0"/>
        <v>40.61904761904762</v>
      </c>
      <c r="D15">
        <f t="shared" si="2"/>
        <v>37.46</v>
      </c>
      <c r="E15">
        <f t="shared" si="3"/>
        <v>49.67</v>
      </c>
      <c r="H15" t="str">
        <f t="shared" si="1"/>
        <v>Negative slope</v>
      </c>
    </row>
    <row r="16" spans="1:24" x14ac:dyDescent="0.2">
      <c r="A16" s="20">
        <v>42345</v>
      </c>
      <c r="B16">
        <v>37.64</v>
      </c>
      <c r="C16">
        <f t="shared" si="0"/>
        <v>40.924285714285716</v>
      </c>
      <c r="D16">
        <f t="shared" si="2"/>
        <v>37.64</v>
      </c>
      <c r="E16">
        <f t="shared" si="3"/>
        <v>49.67</v>
      </c>
      <c r="H16" t="str">
        <f t="shared" si="1"/>
        <v>Negative slope</v>
      </c>
      <c r="W16" s="89" t="s">
        <v>119</v>
      </c>
      <c r="X16">
        <v>170</v>
      </c>
    </row>
    <row r="17" spans="1:24" x14ac:dyDescent="0.2">
      <c r="A17" s="20">
        <v>42342</v>
      </c>
      <c r="B17">
        <v>40</v>
      </c>
      <c r="C17">
        <f t="shared" si="0"/>
        <v>41.242380952380948</v>
      </c>
      <c r="D17">
        <f t="shared" si="2"/>
        <v>39.270000000000003</v>
      </c>
      <c r="E17">
        <f t="shared" si="3"/>
        <v>49.67</v>
      </c>
      <c r="H17" t="str">
        <f t="shared" si="1"/>
        <v>Negative slope</v>
      </c>
      <c r="W17" s="89" t="s">
        <v>120</v>
      </c>
      <c r="X17">
        <v>60</v>
      </c>
    </row>
    <row r="18" spans="1:24" x14ac:dyDescent="0.2">
      <c r="A18" s="20">
        <v>42341</v>
      </c>
      <c r="B18">
        <v>41.08</v>
      </c>
      <c r="C18">
        <f t="shared" si="0"/>
        <v>41.493333333333325</v>
      </c>
      <c r="D18">
        <f t="shared" si="2"/>
        <v>39.270000000000003</v>
      </c>
      <c r="E18">
        <f t="shared" si="3"/>
        <v>49.67</v>
      </c>
      <c r="H18" t="str">
        <f t="shared" si="1"/>
        <v>Negative slope</v>
      </c>
      <c r="W18" s="89"/>
    </row>
    <row r="19" spans="1:24" x14ac:dyDescent="0.2">
      <c r="A19" s="20">
        <v>42340</v>
      </c>
      <c r="B19">
        <v>39.93</v>
      </c>
      <c r="C19">
        <f t="shared" si="0"/>
        <v>41.742857142857147</v>
      </c>
      <c r="D19">
        <f t="shared" si="2"/>
        <v>39.270000000000003</v>
      </c>
      <c r="E19">
        <f t="shared" si="3"/>
        <v>49.67</v>
      </c>
      <c r="H19" t="str">
        <f t="shared" si="1"/>
        <v>Negative slope</v>
      </c>
      <c r="W19" s="89"/>
    </row>
    <row r="20" spans="1:24" x14ac:dyDescent="0.2">
      <c r="A20" s="20">
        <v>42339</v>
      </c>
      <c r="B20">
        <v>40.58</v>
      </c>
      <c r="C20">
        <f t="shared" si="0"/>
        <v>42.121428571428581</v>
      </c>
      <c r="D20">
        <f t="shared" si="2"/>
        <v>39.270000000000003</v>
      </c>
      <c r="E20">
        <f t="shared" si="3"/>
        <v>49.67</v>
      </c>
      <c r="H20" t="str">
        <f t="shared" si="1"/>
        <v>Negative slope</v>
      </c>
      <c r="W20" s="89"/>
    </row>
    <row r="21" spans="1:24" x14ac:dyDescent="0.2">
      <c r="A21" s="20">
        <v>42338</v>
      </c>
      <c r="B21">
        <v>40.43</v>
      </c>
      <c r="C21">
        <f t="shared" si="0"/>
        <v>42.385238095238101</v>
      </c>
      <c r="D21">
        <f t="shared" si="2"/>
        <v>39.270000000000003</v>
      </c>
      <c r="E21">
        <f t="shared" si="3"/>
        <v>49.67</v>
      </c>
      <c r="H21" t="str">
        <f t="shared" si="1"/>
        <v>Negative slope</v>
      </c>
      <c r="W21" s="89"/>
    </row>
    <row r="22" spans="1:24" x14ac:dyDescent="0.2">
      <c r="A22" s="20">
        <v>42335</v>
      </c>
      <c r="B22">
        <v>40.57</v>
      </c>
      <c r="C22">
        <f t="shared" si="0"/>
        <v>42.67904761904763</v>
      </c>
      <c r="D22">
        <f t="shared" si="2"/>
        <v>39.270000000000003</v>
      </c>
      <c r="E22">
        <f t="shared" si="3"/>
        <v>49.67</v>
      </c>
      <c r="H22" t="str">
        <f t="shared" si="1"/>
        <v>Negative slope</v>
      </c>
    </row>
    <row r="23" spans="1:24" x14ac:dyDescent="0.2">
      <c r="A23" s="20">
        <v>42334</v>
      </c>
      <c r="B23">
        <v>41.22</v>
      </c>
      <c r="C23">
        <f t="shared" si="0"/>
        <v>42.938571428571436</v>
      </c>
      <c r="D23">
        <f t="shared" si="2"/>
        <v>39.270000000000003</v>
      </c>
      <c r="E23">
        <f t="shared" si="3"/>
        <v>49.67</v>
      </c>
      <c r="H23" t="str">
        <f t="shared" si="1"/>
        <v>Negative slope</v>
      </c>
    </row>
    <row r="24" spans="1:24" x14ac:dyDescent="0.2">
      <c r="A24" s="20">
        <v>42333</v>
      </c>
      <c r="B24">
        <v>41.22</v>
      </c>
      <c r="C24">
        <f t="shared" si="0"/>
        <v>43.162857142857149</v>
      </c>
      <c r="D24">
        <f t="shared" si="2"/>
        <v>39.270000000000003</v>
      </c>
      <c r="E24">
        <f t="shared" si="3"/>
        <v>49.67</v>
      </c>
      <c r="H24" t="str">
        <f t="shared" si="1"/>
        <v>Negative slope</v>
      </c>
    </row>
    <row r="25" spans="1:24" x14ac:dyDescent="0.2">
      <c r="A25" s="20">
        <v>42332</v>
      </c>
      <c r="B25">
        <v>40.89</v>
      </c>
      <c r="C25">
        <f t="shared" si="0"/>
        <v>43.257619047619052</v>
      </c>
      <c r="D25">
        <f t="shared" si="2"/>
        <v>39.270000000000003</v>
      </c>
      <c r="E25">
        <f t="shared" si="3"/>
        <v>49.67</v>
      </c>
      <c r="H25" t="str">
        <f t="shared" si="1"/>
        <v>Negative slope</v>
      </c>
    </row>
    <row r="26" spans="1:24" x14ac:dyDescent="0.2">
      <c r="A26" s="20">
        <v>42331</v>
      </c>
      <c r="B26">
        <v>39.270000000000003</v>
      </c>
      <c r="C26">
        <f t="shared" si="0"/>
        <v>43.367142857142859</v>
      </c>
      <c r="D26">
        <f t="shared" si="2"/>
        <v>39.270000000000003</v>
      </c>
      <c r="E26">
        <f t="shared" si="3"/>
        <v>49.67</v>
      </c>
      <c r="H26" t="str">
        <f t="shared" si="1"/>
        <v>Negative slope</v>
      </c>
    </row>
    <row r="27" spans="1:24" x14ac:dyDescent="0.2">
      <c r="A27" s="20">
        <v>42328</v>
      </c>
      <c r="B27">
        <v>39.39</v>
      </c>
      <c r="C27">
        <f t="shared" si="0"/>
        <v>43.588095238095242</v>
      </c>
      <c r="D27">
        <f t="shared" si="2"/>
        <v>39.39</v>
      </c>
      <c r="E27">
        <f t="shared" si="3"/>
        <v>49.67</v>
      </c>
      <c r="H27" t="str">
        <f t="shared" si="1"/>
        <v>Negative slope</v>
      </c>
    </row>
    <row r="28" spans="1:24" x14ac:dyDescent="0.2">
      <c r="A28" s="20">
        <v>42327</v>
      </c>
      <c r="B28">
        <v>40.549999999999997</v>
      </c>
      <c r="C28">
        <f t="shared" si="0"/>
        <v>43.850476190476186</v>
      </c>
      <c r="D28">
        <f t="shared" si="2"/>
        <v>40.549999999999997</v>
      </c>
      <c r="E28">
        <f t="shared" si="3"/>
        <v>49.67</v>
      </c>
      <c r="H28" t="str">
        <f t="shared" si="1"/>
        <v>Negative slope</v>
      </c>
    </row>
    <row r="29" spans="1:24" x14ac:dyDescent="0.2">
      <c r="A29" s="20">
        <v>42326</v>
      </c>
      <c r="B29">
        <v>40.75</v>
      </c>
      <c r="C29">
        <f t="shared" si="0"/>
        <v>44.072857142857139</v>
      </c>
      <c r="D29">
        <f t="shared" si="2"/>
        <v>40.69</v>
      </c>
      <c r="E29">
        <f t="shared" si="3"/>
        <v>49.67</v>
      </c>
      <c r="H29" t="str">
        <f t="shared" si="1"/>
        <v>Negative slope</v>
      </c>
    </row>
    <row r="30" spans="1:24" x14ac:dyDescent="0.2">
      <c r="A30" s="20">
        <v>42325</v>
      </c>
      <c r="B30">
        <v>40.729999999999997</v>
      </c>
      <c r="C30">
        <f t="shared" si="0"/>
        <v>44.315238095238094</v>
      </c>
      <c r="D30">
        <f t="shared" si="2"/>
        <v>40.69</v>
      </c>
      <c r="E30">
        <f t="shared" si="3"/>
        <v>49.67</v>
      </c>
      <c r="H30" t="str">
        <f t="shared" si="1"/>
        <v>Negative slope</v>
      </c>
    </row>
    <row r="31" spans="1:24" x14ac:dyDescent="0.2">
      <c r="A31" s="20">
        <v>42324</v>
      </c>
      <c r="B31">
        <v>41.68</v>
      </c>
      <c r="C31">
        <f t="shared" si="0"/>
        <v>44.561904761904756</v>
      </c>
      <c r="D31">
        <f t="shared" si="2"/>
        <v>40.69</v>
      </c>
      <c r="E31">
        <f t="shared" si="3"/>
        <v>49.67</v>
      </c>
      <c r="H31" t="str">
        <f t="shared" si="1"/>
        <v>Negative slope</v>
      </c>
    </row>
    <row r="32" spans="1:24" x14ac:dyDescent="0.2">
      <c r="A32" s="20">
        <v>42321</v>
      </c>
      <c r="B32">
        <v>40.69</v>
      </c>
      <c r="C32">
        <f t="shared" si="0"/>
        <v>44.829523809523799</v>
      </c>
      <c r="D32">
        <f t="shared" si="2"/>
        <v>40.69</v>
      </c>
      <c r="E32">
        <f t="shared" si="3"/>
        <v>49.67</v>
      </c>
      <c r="H32" t="str">
        <f t="shared" si="1"/>
        <v>Negative slope</v>
      </c>
    </row>
    <row r="33" spans="1:8" x14ac:dyDescent="0.2">
      <c r="A33" s="20">
        <v>42320</v>
      </c>
      <c r="B33">
        <v>41.74</v>
      </c>
      <c r="C33">
        <f t="shared" si="0"/>
        <v>45.100476190476193</v>
      </c>
      <c r="D33">
        <f t="shared" si="2"/>
        <v>41.74</v>
      </c>
      <c r="E33">
        <f t="shared" si="3"/>
        <v>49.67</v>
      </c>
      <c r="H33" t="str">
        <f t="shared" si="1"/>
        <v>Negative slope</v>
      </c>
    </row>
    <row r="34" spans="1:8" x14ac:dyDescent="0.2">
      <c r="A34" s="20">
        <v>42319</v>
      </c>
      <c r="B34">
        <v>42.95</v>
      </c>
      <c r="C34">
        <f t="shared" si="0"/>
        <v>45.333333333333336</v>
      </c>
      <c r="D34">
        <f t="shared" si="2"/>
        <v>42.95</v>
      </c>
      <c r="E34">
        <f t="shared" si="3"/>
        <v>49.67</v>
      </c>
      <c r="H34" t="str">
        <f t="shared" si="1"/>
        <v>Negative slope</v>
      </c>
    </row>
    <row r="35" spans="1:8" x14ac:dyDescent="0.2">
      <c r="A35" s="20">
        <v>42318</v>
      </c>
      <c r="B35">
        <v>44.23</v>
      </c>
      <c r="C35">
        <f t="shared" si="0"/>
        <v>45.511904761904759</v>
      </c>
      <c r="D35">
        <f t="shared" si="2"/>
        <v>43.19</v>
      </c>
      <c r="E35">
        <f t="shared" si="3"/>
        <v>49.67</v>
      </c>
      <c r="H35" t="str">
        <f t="shared" si="1"/>
        <v>Negative slope</v>
      </c>
    </row>
    <row r="36" spans="1:8" x14ac:dyDescent="0.2">
      <c r="A36" s="20">
        <v>42317</v>
      </c>
      <c r="B36">
        <v>43.87</v>
      </c>
      <c r="C36">
        <f t="shared" si="0"/>
        <v>45.648095238095237</v>
      </c>
      <c r="D36">
        <f t="shared" si="2"/>
        <v>43.19</v>
      </c>
      <c r="E36">
        <f t="shared" si="3"/>
        <v>49.67</v>
      </c>
      <c r="H36" t="str">
        <f t="shared" si="1"/>
        <v>Negative slope</v>
      </c>
    </row>
    <row r="37" spans="1:8" x14ac:dyDescent="0.2">
      <c r="A37" s="20">
        <v>42314</v>
      </c>
      <c r="B37">
        <v>44.32</v>
      </c>
      <c r="C37">
        <f t="shared" si="0"/>
        <v>45.924285714285716</v>
      </c>
      <c r="D37">
        <f t="shared" si="2"/>
        <v>43.19</v>
      </c>
      <c r="E37">
        <f t="shared" si="3"/>
        <v>49.67</v>
      </c>
      <c r="H37" t="str">
        <f t="shared" si="1"/>
        <v>Negative slope</v>
      </c>
    </row>
    <row r="38" spans="1:8" x14ac:dyDescent="0.2">
      <c r="A38" s="20">
        <v>42313</v>
      </c>
      <c r="B38">
        <v>45.27</v>
      </c>
      <c r="C38">
        <f t="shared" si="0"/>
        <v>46.169047619047618</v>
      </c>
      <c r="D38">
        <f t="shared" si="2"/>
        <v>42.47</v>
      </c>
      <c r="E38">
        <f t="shared" si="3"/>
        <v>49.67</v>
      </c>
      <c r="H38" t="str">
        <f t="shared" si="1"/>
        <v>Negative slope</v>
      </c>
    </row>
    <row r="39" spans="1:8" x14ac:dyDescent="0.2">
      <c r="A39" s="20">
        <v>42312</v>
      </c>
      <c r="B39">
        <v>46.32</v>
      </c>
      <c r="C39">
        <f t="shared" si="0"/>
        <v>46.292380952380952</v>
      </c>
      <c r="D39">
        <f t="shared" si="2"/>
        <v>38.5</v>
      </c>
      <c r="E39">
        <f t="shared" si="3"/>
        <v>49.67</v>
      </c>
      <c r="H39" t="str">
        <f t="shared" si="1"/>
        <v>Negative slope</v>
      </c>
    </row>
    <row r="40" spans="1:8" x14ac:dyDescent="0.2">
      <c r="A40" s="20">
        <v>42311</v>
      </c>
      <c r="B40">
        <v>47.88</v>
      </c>
      <c r="C40">
        <f t="shared" si="0"/>
        <v>46.397619047619045</v>
      </c>
      <c r="D40">
        <f t="shared" si="2"/>
        <v>38.5</v>
      </c>
      <c r="E40">
        <f t="shared" si="3"/>
        <v>49.67</v>
      </c>
      <c r="H40" t="str">
        <f t="shared" si="1"/>
        <v>Positive slope</v>
      </c>
    </row>
    <row r="41" spans="1:8" x14ac:dyDescent="0.2">
      <c r="A41" s="20">
        <v>42310</v>
      </c>
      <c r="B41">
        <v>46.12</v>
      </c>
      <c r="C41">
        <f t="shared" si="0"/>
        <v>46.321428571428569</v>
      </c>
      <c r="D41">
        <f t="shared" si="2"/>
        <v>38.22</v>
      </c>
      <c r="E41">
        <f t="shared" si="3"/>
        <v>49.67</v>
      </c>
      <c r="H41" t="str">
        <f t="shared" si="1"/>
        <v>Positive slope</v>
      </c>
    </row>
    <row r="42" spans="1:8" x14ac:dyDescent="0.2">
      <c r="A42" s="20">
        <v>42307</v>
      </c>
      <c r="B42">
        <v>46.6</v>
      </c>
      <c r="C42">
        <f t="shared" si="0"/>
        <v>46.293809523809529</v>
      </c>
      <c r="D42">
        <f t="shared" si="2"/>
        <v>38.22</v>
      </c>
      <c r="E42">
        <f t="shared" si="3"/>
        <v>49.67</v>
      </c>
      <c r="H42" t="str">
        <f t="shared" si="1"/>
        <v>Positive slope</v>
      </c>
    </row>
    <row r="43" spans="1:8" x14ac:dyDescent="0.2">
      <c r="A43" s="20">
        <v>42306</v>
      </c>
      <c r="B43">
        <v>46.02</v>
      </c>
      <c r="C43">
        <f t="shared" si="0"/>
        <v>46.205714285714286</v>
      </c>
      <c r="D43">
        <f t="shared" si="2"/>
        <v>38.22</v>
      </c>
      <c r="E43">
        <f t="shared" si="3"/>
        <v>49.67</v>
      </c>
      <c r="H43" t="str">
        <f t="shared" si="1"/>
        <v>Positive slope</v>
      </c>
    </row>
    <row r="44" spans="1:8" x14ac:dyDescent="0.2">
      <c r="A44" s="20">
        <v>42305</v>
      </c>
      <c r="B44">
        <v>45.93</v>
      </c>
      <c r="C44">
        <f t="shared" si="0"/>
        <v>46.16</v>
      </c>
      <c r="D44">
        <f t="shared" si="2"/>
        <v>38.22</v>
      </c>
      <c r="E44">
        <f t="shared" si="3"/>
        <v>49.67</v>
      </c>
      <c r="H44" t="str">
        <f t="shared" si="1"/>
        <v>Positive slope</v>
      </c>
    </row>
    <row r="45" spans="1:8" x14ac:dyDescent="0.2">
      <c r="A45" s="20">
        <v>42304</v>
      </c>
      <c r="B45">
        <v>43.21</v>
      </c>
      <c r="C45">
        <f t="shared" si="0"/>
        <v>46.12714285714285</v>
      </c>
      <c r="D45">
        <f t="shared" si="2"/>
        <v>38.22</v>
      </c>
      <c r="E45">
        <f t="shared" si="3"/>
        <v>49.67</v>
      </c>
      <c r="H45" t="str">
        <f t="shared" si="1"/>
        <v>Negative slope</v>
      </c>
    </row>
    <row r="46" spans="1:8" x14ac:dyDescent="0.2">
      <c r="A46" s="20">
        <v>42303</v>
      </c>
      <c r="B46">
        <v>43.19</v>
      </c>
      <c r="C46">
        <f t="shared" si="0"/>
        <v>46.183809523809522</v>
      </c>
      <c r="D46">
        <f t="shared" si="2"/>
        <v>38.22</v>
      </c>
      <c r="E46">
        <f t="shared" si="3"/>
        <v>49.67</v>
      </c>
      <c r="H46" t="str">
        <f t="shared" si="1"/>
        <v>Negative slope</v>
      </c>
    </row>
    <row r="47" spans="1:8" x14ac:dyDescent="0.2">
      <c r="A47" s="20">
        <v>42300</v>
      </c>
      <c r="B47">
        <v>43.91</v>
      </c>
      <c r="C47">
        <f t="shared" si="0"/>
        <v>46.296190476190475</v>
      </c>
      <c r="D47">
        <f t="shared" si="2"/>
        <v>38.22</v>
      </c>
      <c r="E47">
        <f t="shared" si="3"/>
        <v>49.67</v>
      </c>
      <c r="H47" t="str">
        <f t="shared" si="1"/>
        <v>Negative slope</v>
      </c>
    </row>
    <row r="48" spans="1:8" x14ac:dyDescent="0.2">
      <c r="A48" s="20">
        <v>42299</v>
      </c>
      <c r="B48">
        <v>44.9</v>
      </c>
      <c r="C48">
        <f t="shared" si="0"/>
        <v>46.345238095238088</v>
      </c>
      <c r="D48">
        <f t="shared" si="2"/>
        <v>38.22</v>
      </c>
      <c r="E48">
        <f t="shared" si="3"/>
        <v>49.67</v>
      </c>
      <c r="H48" t="str">
        <f t="shared" si="1"/>
        <v>Positive slope</v>
      </c>
    </row>
    <row r="49" spans="1:8" x14ac:dyDescent="0.2">
      <c r="A49" s="20">
        <v>42298</v>
      </c>
      <c r="B49">
        <v>45.22</v>
      </c>
      <c r="C49">
        <f t="shared" si="0"/>
        <v>46.327619047619031</v>
      </c>
      <c r="D49">
        <f t="shared" si="2"/>
        <v>38.22</v>
      </c>
      <c r="E49">
        <f t="shared" si="3"/>
        <v>49.67</v>
      </c>
      <c r="H49" t="str">
        <f t="shared" si="1"/>
        <v>Negative slope</v>
      </c>
    </row>
    <row r="50" spans="1:8" x14ac:dyDescent="0.2">
      <c r="A50" s="20">
        <v>42297</v>
      </c>
      <c r="B50">
        <v>45.84</v>
      </c>
      <c r="C50">
        <f t="shared" si="0"/>
        <v>46.372857142857136</v>
      </c>
      <c r="D50">
        <f t="shared" si="2"/>
        <v>38.22</v>
      </c>
      <c r="E50">
        <f t="shared" si="3"/>
        <v>49.67</v>
      </c>
      <c r="H50" t="str">
        <f t="shared" si="1"/>
        <v>Negative slope</v>
      </c>
    </row>
    <row r="51" spans="1:8" x14ac:dyDescent="0.2">
      <c r="A51" s="20">
        <v>42296</v>
      </c>
      <c r="B51">
        <v>45.91</v>
      </c>
      <c r="C51">
        <f t="shared" si="0"/>
        <v>46.412380952380936</v>
      </c>
      <c r="D51">
        <f t="shared" si="2"/>
        <v>38.22</v>
      </c>
      <c r="E51">
        <f t="shared" si="3"/>
        <v>49.67</v>
      </c>
      <c r="H51" t="str">
        <f t="shared" si="1"/>
        <v>Positive slope</v>
      </c>
    </row>
    <row r="52" spans="1:8" x14ac:dyDescent="0.2">
      <c r="A52" s="20">
        <v>42293</v>
      </c>
      <c r="B52">
        <v>47.3</v>
      </c>
      <c r="C52">
        <f t="shared" si="0"/>
        <v>46.355238095238086</v>
      </c>
      <c r="D52">
        <f t="shared" si="2"/>
        <v>38.22</v>
      </c>
      <c r="E52">
        <f t="shared" si="3"/>
        <v>49.67</v>
      </c>
      <c r="H52" t="str">
        <f t="shared" si="1"/>
        <v>Positive slope</v>
      </c>
    </row>
    <row r="53" spans="1:8" x14ac:dyDescent="0.2">
      <c r="A53" s="20">
        <v>42292</v>
      </c>
      <c r="B53">
        <v>46.38</v>
      </c>
      <c r="C53">
        <f t="shared" si="0"/>
        <v>46.337619047619036</v>
      </c>
      <c r="D53">
        <f t="shared" si="2"/>
        <v>38.22</v>
      </c>
      <c r="E53">
        <f t="shared" si="3"/>
        <v>49.67</v>
      </c>
      <c r="H53" t="str">
        <f t="shared" si="1"/>
        <v>Negative slope</v>
      </c>
    </row>
    <row r="54" spans="1:8" x14ac:dyDescent="0.2">
      <c r="A54" s="20">
        <v>42291</v>
      </c>
      <c r="B54">
        <v>46.63</v>
      </c>
      <c r="C54">
        <f t="shared" si="0"/>
        <v>46.372857142857143</v>
      </c>
      <c r="D54">
        <f t="shared" si="2"/>
        <v>38.22</v>
      </c>
      <c r="E54">
        <f t="shared" si="3"/>
        <v>49.67</v>
      </c>
      <c r="H54" t="str">
        <f t="shared" si="1"/>
        <v>Positive slope</v>
      </c>
    </row>
    <row r="55" spans="1:8" x14ac:dyDescent="0.2">
      <c r="A55" s="20">
        <v>42290</v>
      </c>
      <c r="B55">
        <v>46.7</v>
      </c>
      <c r="C55">
        <f t="shared" si="0"/>
        <v>46.275238095238088</v>
      </c>
      <c r="D55">
        <f t="shared" si="2"/>
        <v>38.22</v>
      </c>
      <c r="E55">
        <f t="shared" si="3"/>
        <v>49.67</v>
      </c>
      <c r="H55" t="str">
        <f t="shared" si="1"/>
        <v>Positive slope</v>
      </c>
    </row>
    <row r="56" spans="1:8" x14ac:dyDescent="0.2">
      <c r="A56" s="20">
        <v>42289</v>
      </c>
      <c r="B56">
        <v>47.09</v>
      </c>
      <c r="C56">
        <f t="shared" si="0"/>
        <v>46.149999999999991</v>
      </c>
      <c r="D56">
        <f t="shared" si="2"/>
        <v>38.22</v>
      </c>
      <c r="E56">
        <f t="shared" si="3"/>
        <v>49.67</v>
      </c>
      <c r="H56" t="str">
        <f t="shared" si="1"/>
        <v>Positive slope</v>
      </c>
    </row>
    <row r="57" spans="1:8" x14ac:dyDescent="0.2">
      <c r="A57" s="20">
        <v>42286</v>
      </c>
      <c r="B57">
        <v>49.67</v>
      </c>
      <c r="C57">
        <f t="shared" si="0"/>
        <v>46.038571428571423</v>
      </c>
      <c r="D57">
        <f t="shared" si="2"/>
        <v>38.22</v>
      </c>
      <c r="E57">
        <f t="shared" si="3"/>
        <v>49.67</v>
      </c>
      <c r="H57" t="str">
        <f t="shared" si="1"/>
        <v>Positive slope</v>
      </c>
    </row>
    <row r="58" spans="1:8" x14ac:dyDescent="0.2">
      <c r="A58" s="20">
        <v>42285</v>
      </c>
      <c r="B58">
        <v>49.46</v>
      </c>
      <c r="C58">
        <f t="shared" si="0"/>
        <v>45.856666666666669</v>
      </c>
      <c r="D58">
        <f t="shared" si="2"/>
        <v>38.22</v>
      </c>
      <c r="E58">
        <f t="shared" si="3"/>
        <v>49.46</v>
      </c>
      <c r="H58" t="str">
        <f t="shared" si="1"/>
        <v>Positive slope</v>
      </c>
    </row>
    <row r="59" spans="1:8" x14ac:dyDescent="0.2">
      <c r="A59" s="20">
        <v>42284</v>
      </c>
      <c r="B59">
        <v>47.86</v>
      </c>
      <c r="C59">
        <f t="shared" si="0"/>
        <v>45.60285714285714</v>
      </c>
      <c r="D59">
        <f t="shared" si="2"/>
        <v>38.22</v>
      </c>
      <c r="E59">
        <f t="shared" si="3"/>
        <v>49.2</v>
      </c>
      <c r="H59" t="str">
        <f t="shared" si="1"/>
        <v>Positive slope</v>
      </c>
    </row>
    <row r="60" spans="1:8" x14ac:dyDescent="0.2">
      <c r="A60" s="20">
        <v>42283</v>
      </c>
      <c r="B60">
        <v>48.53</v>
      </c>
      <c r="C60">
        <f t="shared" si="0"/>
        <v>45.51047619047619</v>
      </c>
      <c r="D60">
        <f t="shared" si="2"/>
        <v>38.22</v>
      </c>
      <c r="E60">
        <f t="shared" si="3"/>
        <v>49.2</v>
      </c>
      <c r="H60" t="str">
        <f t="shared" si="1"/>
        <v>Positive slope</v>
      </c>
    </row>
    <row r="61" spans="1:8" x14ac:dyDescent="0.2">
      <c r="A61" s="20">
        <v>42282</v>
      </c>
      <c r="B61">
        <v>46.28</v>
      </c>
      <c r="C61">
        <f t="shared" si="0"/>
        <v>45.390952380952385</v>
      </c>
      <c r="D61">
        <f t="shared" si="2"/>
        <v>38.22</v>
      </c>
      <c r="E61">
        <f t="shared" si="3"/>
        <v>49.2</v>
      </c>
      <c r="H61" t="str">
        <f t="shared" si="1"/>
        <v>Negative slope</v>
      </c>
    </row>
    <row r="62" spans="1:8" x14ac:dyDescent="0.2">
      <c r="A62" s="20">
        <v>42279</v>
      </c>
      <c r="B62">
        <v>45.54</v>
      </c>
      <c r="C62">
        <f t="shared" si="0"/>
        <v>45.413333333333334</v>
      </c>
      <c r="D62">
        <f t="shared" si="2"/>
        <v>38.22</v>
      </c>
      <c r="E62">
        <f t="shared" si="3"/>
        <v>49.2</v>
      </c>
      <c r="H62" t="str">
        <f t="shared" si="1"/>
        <v>Negative slope</v>
      </c>
    </row>
    <row r="63" spans="1:8" x14ac:dyDescent="0.2">
      <c r="A63" s="20">
        <v>42278</v>
      </c>
      <c r="B63">
        <v>44.75</v>
      </c>
      <c r="C63">
        <f t="shared" si="0"/>
        <v>45.449523809523811</v>
      </c>
      <c r="D63">
        <f t="shared" si="2"/>
        <v>38.22</v>
      </c>
      <c r="E63">
        <f t="shared" si="3"/>
        <v>49.2</v>
      </c>
      <c r="H63" t="str">
        <f t="shared" si="1"/>
        <v>Negative slope</v>
      </c>
    </row>
    <row r="64" spans="1:8" x14ac:dyDescent="0.2">
      <c r="A64" s="20">
        <v>42277</v>
      </c>
      <c r="B64">
        <v>45.06</v>
      </c>
      <c r="C64">
        <f t="shared" si="0"/>
        <v>45.479523809523812</v>
      </c>
      <c r="D64">
        <f t="shared" si="2"/>
        <v>38.22</v>
      </c>
      <c r="E64">
        <f t="shared" si="3"/>
        <v>49.27</v>
      </c>
      <c r="H64" t="str">
        <f t="shared" si="1"/>
        <v>Negative slope</v>
      </c>
    </row>
    <row r="65" spans="1:11" x14ac:dyDescent="0.2">
      <c r="A65" s="20">
        <v>42276</v>
      </c>
      <c r="B65">
        <v>45.24</v>
      </c>
      <c r="C65">
        <f t="shared" si="0"/>
        <v>45.676666666666662</v>
      </c>
      <c r="D65">
        <f t="shared" si="2"/>
        <v>38.22</v>
      </c>
      <c r="E65">
        <f t="shared" si="3"/>
        <v>50.59</v>
      </c>
      <c r="H65" t="str">
        <f t="shared" si="1"/>
        <v>Negative slope</v>
      </c>
    </row>
    <row r="66" spans="1:11" x14ac:dyDescent="0.2">
      <c r="A66" s="20">
        <v>42275</v>
      </c>
      <c r="B66">
        <v>44.4</v>
      </c>
      <c r="C66">
        <f t="shared" ref="C66:C129" si="4">AVERAGE(B66:B86)</f>
        <v>45.679047619047616</v>
      </c>
      <c r="D66">
        <f t="shared" si="2"/>
        <v>38.22</v>
      </c>
      <c r="E66">
        <f t="shared" si="3"/>
        <v>50.59</v>
      </c>
      <c r="H66" t="str">
        <f t="shared" ref="H66:H129" si="5">IF((C66-C67)&gt;0, "Positive slope", "Negative slope")</f>
        <v>Positive slope</v>
      </c>
    </row>
    <row r="67" spans="1:11" x14ac:dyDescent="0.2">
      <c r="A67" s="20">
        <v>42272</v>
      </c>
      <c r="B67">
        <v>45.55</v>
      </c>
      <c r="C67">
        <f t="shared" si="4"/>
        <v>45.587142857142851</v>
      </c>
      <c r="D67">
        <f t="shared" ref="D67:D130" si="6">MIN(B67:B116)</f>
        <v>38.22</v>
      </c>
      <c r="E67">
        <f t="shared" ref="E67:E130" si="7">MAX(B67:B116)</f>
        <v>50.88</v>
      </c>
      <c r="H67" t="str">
        <f t="shared" si="5"/>
        <v>Positive slope</v>
      </c>
    </row>
    <row r="68" spans="1:11" x14ac:dyDescent="0.2">
      <c r="A68" s="20">
        <v>42271</v>
      </c>
      <c r="B68">
        <v>44.94</v>
      </c>
      <c r="C68">
        <f t="shared" si="4"/>
        <v>45.251428571428569</v>
      </c>
      <c r="D68">
        <f t="shared" si="6"/>
        <v>38.22</v>
      </c>
      <c r="E68">
        <f t="shared" si="7"/>
        <v>50.9</v>
      </c>
      <c r="H68" t="str">
        <f t="shared" si="5"/>
        <v>Positive slope</v>
      </c>
    </row>
    <row r="69" spans="1:11" x14ac:dyDescent="0.2">
      <c r="A69" s="20">
        <v>42270</v>
      </c>
      <c r="B69">
        <v>44.53</v>
      </c>
      <c r="C69">
        <f t="shared" si="4"/>
        <v>44.975714285714282</v>
      </c>
      <c r="D69">
        <f t="shared" si="6"/>
        <v>38.22</v>
      </c>
      <c r="E69">
        <f t="shared" si="7"/>
        <v>51.4</v>
      </c>
      <c r="H69" t="str">
        <f t="shared" si="5"/>
        <v>Positive slope</v>
      </c>
    </row>
    <row r="70" spans="1:11" x14ac:dyDescent="0.2">
      <c r="A70" s="20">
        <v>42269</v>
      </c>
      <c r="B70">
        <v>46.17</v>
      </c>
      <c r="C70">
        <f t="shared" si="4"/>
        <v>44.6752380952381</v>
      </c>
      <c r="D70">
        <f t="shared" si="6"/>
        <v>38.22</v>
      </c>
      <c r="E70">
        <f t="shared" si="7"/>
        <v>53.05</v>
      </c>
      <c r="H70" t="str">
        <f t="shared" si="5"/>
        <v>Positive slope</v>
      </c>
    </row>
    <row r="71" spans="1:11" x14ac:dyDescent="0.2">
      <c r="A71" s="20">
        <v>42268</v>
      </c>
      <c r="B71">
        <v>46.67</v>
      </c>
      <c r="C71">
        <f t="shared" si="4"/>
        <v>44.402857142857144</v>
      </c>
      <c r="D71">
        <f t="shared" si="6"/>
        <v>38.22</v>
      </c>
      <c r="E71">
        <f t="shared" si="7"/>
        <v>53.05</v>
      </c>
      <c r="H71" t="str">
        <f t="shared" si="5"/>
        <v>Positive slope</v>
      </c>
    </row>
    <row r="72" spans="1:11" x14ac:dyDescent="0.2">
      <c r="A72" s="20">
        <v>42265</v>
      </c>
      <c r="B72">
        <v>44.71</v>
      </c>
      <c r="C72">
        <f t="shared" si="4"/>
        <v>44.132857142857148</v>
      </c>
      <c r="D72">
        <f t="shared" si="6"/>
        <v>38.22</v>
      </c>
      <c r="E72">
        <f t="shared" si="7"/>
        <v>53.05</v>
      </c>
      <c r="H72" t="str">
        <f t="shared" si="5"/>
        <v>Positive slope</v>
      </c>
    </row>
    <row r="73" spans="1:11" x14ac:dyDescent="0.2">
      <c r="A73" s="20">
        <v>42264</v>
      </c>
      <c r="B73">
        <v>46.93</v>
      </c>
      <c r="C73">
        <f t="shared" si="4"/>
        <v>43.944285714285719</v>
      </c>
      <c r="D73">
        <f t="shared" si="6"/>
        <v>38.22</v>
      </c>
      <c r="E73">
        <f t="shared" si="7"/>
        <v>53.05</v>
      </c>
      <c r="H73" t="str">
        <f t="shared" si="5"/>
        <v>Positive slope</v>
      </c>
    </row>
    <row r="74" spans="1:11" x14ac:dyDescent="0.2">
      <c r="A74" s="20">
        <v>42263</v>
      </c>
      <c r="B74">
        <v>47.12</v>
      </c>
      <c r="C74">
        <f t="shared" si="4"/>
        <v>43.737142857142864</v>
      </c>
      <c r="D74">
        <f t="shared" si="6"/>
        <v>38.22</v>
      </c>
      <c r="E74">
        <f t="shared" si="7"/>
        <v>53.05</v>
      </c>
      <c r="H74" t="str">
        <f t="shared" si="5"/>
        <v>Positive slope</v>
      </c>
    </row>
    <row r="75" spans="1:11" x14ac:dyDescent="0.2">
      <c r="A75" s="20">
        <v>42262</v>
      </c>
      <c r="B75">
        <v>44.58</v>
      </c>
      <c r="C75">
        <f t="shared" si="4"/>
        <v>43.49</v>
      </c>
      <c r="D75">
        <f t="shared" si="6"/>
        <v>38.22</v>
      </c>
      <c r="E75">
        <f t="shared" si="7"/>
        <v>53.05</v>
      </c>
      <c r="H75" t="str">
        <f t="shared" si="5"/>
        <v>Positive slope</v>
      </c>
    </row>
    <row r="76" spans="1:11" x14ac:dyDescent="0.2">
      <c r="A76" s="20">
        <v>42261</v>
      </c>
      <c r="B76">
        <v>44.07</v>
      </c>
      <c r="C76">
        <f t="shared" si="4"/>
        <v>43.388571428571431</v>
      </c>
      <c r="D76">
        <f t="shared" si="6"/>
        <v>38.22</v>
      </c>
      <c r="E76">
        <f t="shared" si="7"/>
        <v>53.05</v>
      </c>
      <c r="H76" t="str">
        <f t="shared" si="5"/>
        <v>Positive slope</v>
      </c>
    </row>
    <row r="77" spans="1:11" x14ac:dyDescent="0.2">
      <c r="A77" s="20">
        <v>42258</v>
      </c>
      <c r="B77">
        <v>44.75</v>
      </c>
      <c r="C77">
        <f t="shared" si="4"/>
        <v>43.302857142857142</v>
      </c>
      <c r="D77">
        <f t="shared" si="6"/>
        <v>38.22</v>
      </c>
      <c r="E77">
        <f t="shared" si="7"/>
        <v>56.93</v>
      </c>
      <c r="H77" t="str">
        <f t="shared" si="5"/>
        <v>Positive slope</v>
      </c>
    </row>
    <row r="78" spans="1:11" x14ac:dyDescent="0.2">
      <c r="A78" s="20">
        <v>42257</v>
      </c>
      <c r="B78">
        <v>45.85</v>
      </c>
      <c r="C78">
        <f t="shared" si="4"/>
        <v>43.230000000000004</v>
      </c>
      <c r="D78">
        <f t="shared" si="6"/>
        <v>38.22</v>
      </c>
      <c r="E78">
        <f t="shared" si="7"/>
        <v>56.93</v>
      </c>
      <c r="H78" t="str">
        <f t="shared" si="5"/>
        <v>Positive slope</v>
      </c>
    </row>
    <row r="79" spans="1:11" x14ac:dyDescent="0.2">
      <c r="A79" s="20">
        <v>42256</v>
      </c>
      <c r="B79">
        <v>44.13</v>
      </c>
      <c r="C79">
        <f t="shared" si="4"/>
        <v>43.099523809523816</v>
      </c>
      <c r="D79">
        <f t="shared" si="6"/>
        <v>38.22</v>
      </c>
      <c r="E79">
        <f t="shared" si="7"/>
        <v>56.94</v>
      </c>
      <c r="H79" t="str">
        <f t="shared" si="5"/>
        <v>Negative slope</v>
      </c>
    </row>
    <row r="80" spans="1:11" x14ac:dyDescent="0.2">
      <c r="A80" s="20">
        <v>42255</v>
      </c>
      <c r="B80">
        <v>45.92</v>
      </c>
      <c r="C80">
        <f t="shared" si="4"/>
        <v>43.138095238095239</v>
      </c>
      <c r="D80">
        <f t="shared" si="6"/>
        <v>38.22</v>
      </c>
      <c r="E80">
        <f t="shared" si="7"/>
        <v>59.48</v>
      </c>
      <c r="H80" t="str">
        <f t="shared" si="5"/>
        <v>Positive slope</v>
      </c>
      <c r="K80" t="s">
        <v>71</v>
      </c>
    </row>
    <row r="81" spans="1:8" x14ac:dyDescent="0.2">
      <c r="A81" s="20">
        <v>42251</v>
      </c>
      <c r="B81">
        <v>46.02</v>
      </c>
      <c r="C81">
        <f t="shared" si="4"/>
        <v>43.040476190476191</v>
      </c>
      <c r="D81">
        <f t="shared" si="6"/>
        <v>38.22</v>
      </c>
      <c r="E81">
        <f t="shared" si="7"/>
        <v>59.48</v>
      </c>
      <c r="H81" t="str">
        <f t="shared" si="5"/>
        <v>Positive slope</v>
      </c>
    </row>
    <row r="82" spans="1:8" x14ac:dyDescent="0.2">
      <c r="A82" s="20">
        <v>42250</v>
      </c>
      <c r="B82">
        <v>46.75</v>
      </c>
      <c r="C82">
        <f t="shared" si="4"/>
        <v>42.977142857142859</v>
      </c>
      <c r="D82">
        <f t="shared" si="6"/>
        <v>38.22</v>
      </c>
      <c r="E82">
        <f t="shared" si="7"/>
        <v>59.48</v>
      </c>
      <c r="H82" t="str">
        <f t="shared" si="5"/>
        <v>Positive slope</v>
      </c>
    </row>
    <row r="83" spans="1:8" x14ac:dyDescent="0.2">
      <c r="A83" s="20">
        <v>42249</v>
      </c>
      <c r="B83">
        <v>46.3</v>
      </c>
      <c r="C83">
        <f t="shared" si="4"/>
        <v>42.9</v>
      </c>
      <c r="D83">
        <f t="shared" si="6"/>
        <v>38.22</v>
      </c>
      <c r="E83">
        <f t="shared" si="7"/>
        <v>59.59</v>
      </c>
      <c r="H83" t="str">
        <f t="shared" si="5"/>
        <v>Positive slope</v>
      </c>
    </row>
    <row r="84" spans="1:8" x14ac:dyDescent="0.2">
      <c r="A84" s="20">
        <v>42248</v>
      </c>
      <c r="B84">
        <v>45.38</v>
      </c>
      <c r="C84">
        <f t="shared" si="4"/>
        <v>42.873809523809527</v>
      </c>
      <c r="D84">
        <f t="shared" si="6"/>
        <v>38.22</v>
      </c>
      <c r="E84">
        <f t="shared" si="7"/>
        <v>60.01</v>
      </c>
      <c r="H84" t="str">
        <f t="shared" si="5"/>
        <v>Positive slope</v>
      </c>
    </row>
    <row r="85" spans="1:8" x14ac:dyDescent="0.2">
      <c r="A85" s="20">
        <v>42247</v>
      </c>
      <c r="B85">
        <v>49.2</v>
      </c>
      <c r="C85">
        <f t="shared" si="4"/>
        <v>42.867619047619044</v>
      </c>
      <c r="D85">
        <f t="shared" si="6"/>
        <v>38.22</v>
      </c>
      <c r="E85">
        <f t="shared" si="7"/>
        <v>61.05</v>
      </c>
      <c r="H85" t="str">
        <f t="shared" si="5"/>
        <v>Positive slope</v>
      </c>
    </row>
    <row r="86" spans="1:8" x14ac:dyDescent="0.2">
      <c r="A86" s="20">
        <v>42244</v>
      </c>
      <c r="B86">
        <v>45.29</v>
      </c>
      <c r="C86">
        <f t="shared" si="4"/>
        <v>42.768095238095235</v>
      </c>
      <c r="D86">
        <f t="shared" si="6"/>
        <v>38.22</v>
      </c>
      <c r="E86">
        <f t="shared" si="7"/>
        <v>61.05</v>
      </c>
      <c r="H86" t="str">
        <f t="shared" si="5"/>
        <v>Negative slope</v>
      </c>
    </row>
    <row r="87" spans="1:8" x14ac:dyDescent="0.2">
      <c r="A87" s="20">
        <v>42243</v>
      </c>
      <c r="B87">
        <v>42.47</v>
      </c>
      <c r="C87">
        <f t="shared" si="4"/>
        <v>42.922380952380948</v>
      </c>
      <c r="D87">
        <f t="shared" si="6"/>
        <v>38.22</v>
      </c>
      <c r="E87">
        <f t="shared" si="7"/>
        <v>61.05</v>
      </c>
      <c r="H87" t="str">
        <f t="shared" si="5"/>
        <v>Negative slope</v>
      </c>
    </row>
    <row r="88" spans="1:8" x14ac:dyDescent="0.2">
      <c r="A88" s="20">
        <v>42242</v>
      </c>
      <c r="B88">
        <v>38.5</v>
      </c>
      <c r="C88">
        <f t="shared" si="4"/>
        <v>43.222380952380945</v>
      </c>
      <c r="D88">
        <f t="shared" si="6"/>
        <v>38.22</v>
      </c>
      <c r="E88">
        <f t="shared" si="7"/>
        <v>61.05</v>
      </c>
      <c r="H88" t="str">
        <f t="shared" si="5"/>
        <v>Negative slope</v>
      </c>
    </row>
    <row r="89" spans="1:8" x14ac:dyDescent="0.2">
      <c r="A89" s="20">
        <v>42241</v>
      </c>
      <c r="B89">
        <v>39.15</v>
      </c>
      <c r="C89">
        <f t="shared" si="4"/>
        <v>43.673333333333325</v>
      </c>
      <c r="D89">
        <f t="shared" si="6"/>
        <v>38.22</v>
      </c>
      <c r="E89">
        <f t="shared" si="7"/>
        <v>61.05</v>
      </c>
      <c r="H89" t="str">
        <f t="shared" si="5"/>
        <v>Negative slope</v>
      </c>
    </row>
    <row r="90" spans="1:8" x14ac:dyDescent="0.2">
      <c r="A90" s="20">
        <v>42240</v>
      </c>
      <c r="B90">
        <v>38.22</v>
      </c>
      <c r="C90">
        <f t="shared" si="4"/>
        <v>44.055238095238096</v>
      </c>
      <c r="D90">
        <f t="shared" si="6"/>
        <v>38.22</v>
      </c>
      <c r="E90">
        <f t="shared" si="7"/>
        <v>61.05</v>
      </c>
      <c r="H90" t="str">
        <f t="shared" si="5"/>
        <v>Negative slope</v>
      </c>
    </row>
    <row r="91" spans="1:8" x14ac:dyDescent="0.2">
      <c r="A91" s="20">
        <v>42237</v>
      </c>
      <c r="B91">
        <v>40.450000000000003</v>
      </c>
      <c r="C91">
        <f t="shared" si="4"/>
        <v>44.519999999999996</v>
      </c>
      <c r="D91">
        <f t="shared" si="6"/>
        <v>40.450000000000003</v>
      </c>
      <c r="E91">
        <f t="shared" si="7"/>
        <v>61.05</v>
      </c>
      <c r="H91" t="str">
        <f t="shared" si="5"/>
        <v>Negative slope</v>
      </c>
    </row>
    <row r="92" spans="1:8" x14ac:dyDescent="0.2">
      <c r="A92" s="20">
        <v>42236</v>
      </c>
      <c r="B92">
        <v>41</v>
      </c>
      <c r="C92">
        <f t="shared" si="4"/>
        <v>44.884761904761909</v>
      </c>
      <c r="D92">
        <f t="shared" si="6"/>
        <v>40.75</v>
      </c>
      <c r="E92">
        <f t="shared" si="7"/>
        <v>61.05</v>
      </c>
      <c r="H92" t="str">
        <f t="shared" si="5"/>
        <v>Negative slope</v>
      </c>
    </row>
    <row r="93" spans="1:8" x14ac:dyDescent="0.2">
      <c r="A93" s="20">
        <v>42235</v>
      </c>
      <c r="B93">
        <v>40.75</v>
      </c>
      <c r="C93">
        <f t="shared" si="4"/>
        <v>45.278571428571432</v>
      </c>
      <c r="D93">
        <f t="shared" si="6"/>
        <v>40.75</v>
      </c>
      <c r="E93">
        <f t="shared" si="7"/>
        <v>61.05</v>
      </c>
      <c r="H93" t="str">
        <f t="shared" si="5"/>
        <v>Negative slope</v>
      </c>
    </row>
    <row r="94" spans="1:8" x14ac:dyDescent="0.2">
      <c r="A94" s="20">
        <v>42234</v>
      </c>
      <c r="B94">
        <v>42.58</v>
      </c>
      <c r="C94">
        <f t="shared" si="4"/>
        <v>45.747142857142862</v>
      </c>
      <c r="D94">
        <f t="shared" si="6"/>
        <v>41.93</v>
      </c>
      <c r="E94">
        <f t="shared" si="7"/>
        <v>61.36</v>
      </c>
      <c r="H94" t="str">
        <f t="shared" si="5"/>
        <v>Negative slope</v>
      </c>
    </row>
    <row r="95" spans="1:8" x14ac:dyDescent="0.2">
      <c r="A95" s="20">
        <v>42233</v>
      </c>
      <c r="B95">
        <v>41.93</v>
      </c>
      <c r="C95">
        <f t="shared" si="4"/>
        <v>46.105714285714285</v>
      </c>
      <c r="D95">
        <f t="shared" si="6"/>
        <v>41.93</v>
      </c>
      <c r="E95">
        <f t="shared" si="7"/>
        <v>61.36</v>
      </c>
      <c r="H95" t="str">
        <f t="shared" si="5"/>
        <v>Negative slope</v>
      </c>
    </row>
    <row r="96" spans="1:8" x14ac:dyDescent="0.2">
      <c r="A96" s="20">
        <v>42230</v>
      </c>
      <c r="B96">
        <v>42.45</v>
      </c>
      <c r="C96">
        <f t="shared" si="4"/>
        <v>46.531904761904762</v>
      </c>
      <c r="D96">
        <f t="shared" si="6"/>
        <v>42.27</v>
      </c>
      <c r="E96">
        <f t="shared" si="7"/>
        <v>61.36</v>
      </c>
      <c r="H96" t="str">
        <f t="shared" si="5"/>
        <v>Negative slope</v>
      </c>
    </row>
    <row r="97" spans="1:8" x14ac:dyDescent="0.2">
      <c r="A97" s="20">
        <v>42229</v>
      </c>
      <c r="B97">
        <v>42.27</v>
      </c>
      <c r="C97">
        <f t="shared" si="4"/>
        <v>46.934285714285714</v>
      </c>
      <c r="D97">
        <f t="shared" si="6"/>
        <v>42.27</v>
      </c>
      <c r="E97">
        <f t="shared" si="7"/>
        <v>61.36</v>
      </c>
      <c r="H97" t="str">
        <f t="shared" si="5"/>
        <v>Negative slope</v>
      </c>
    </row>
    <row r="98" spans="1:8" x14ac:dyDescent="0.2">
      <c r="A98" s="20">
        <v>42228</v>
      </c>
      <c r="B98">
        <v>43.22</v>
      </c>
      <c r="C98">
        <f t="shared" si="4"/>
        <v>47.36904761904762</v>
      </c>
      <c r="D98">
        <f t="shared" si="6"/>
        <v>43.11</v>
      </c>
      <c r="E98">
        <f t="shared" si="7"/>
        <v>61.36</v>
      </c>
      <c r="H98" t="str">
        <f t="shared" si="5"/>
        <v>Negative slope</v>
      </c>
    </row>
    <row r="99" spans="1:8" x14ac:dyDescent="0.2">
      <c r="A99" s="20">
        <v>42227</v>
      </c>
      <c r="B99">
        <v>43.11</v>
      </c>
      <c r="C99">
        <f t="shared" si="4"/>
        <v>47.837142857142851</v>
      </c>
      <c r="D99">
        <f t="shared" si="6"/>
        <v>43.11</v>
      </c>
      <c r="E99">
        <f t="shared" si="7"/>
        <v>61.36</v>
      </c>
      <c r="H99" t="str">
        <f t="shared" si="5"/>
        <v>Negative slope</v>
      </c>
    </row>
    <row r="100" spans="1:8" x14ac:dyDescent="0.2">
      <c r="A100" s="20">
        <v>42226</v>
      </c>
      <c r="B100">
        <v>44.94</v>
      </c>
      <c r="C100">
        <f t="shared" si="4"/>
        <v>48.269523809523804</v>
      </c>
      <c r="D100">
        <f t="shared" si="6"/>
        <v>43.87</v>
      </c>
      <c r="E100">
        <f t="shared" si="7"/>
        <v>61.36</v>
      </c>
      <c r="H100" t="str">
        <f t="shared" si="5"/>
        <v>Negative slope</v>
      </c>
    </row>
    <row r="101" spans="1:8" x14ac:dyDescent="0.2">
      <c r="A101" s="20">
        <v>42223</v>
      </c>
      <c r="B101">
        <v>43.87</v>
      </c>
      <c r="C101">
        <f t="shared" si="4"/>
        <v>48.640952380952385</v>
      </c>
      <c r="D101">
        <f t="shared" si="6"/>
        <v>43.87</v>
      </c>
      <c r="E101">
        <f t="shared" si="7"/>
        <v>61.36</v>
      </c>
      <c r="H101" t="str">
        <f t="shared" si="5"/>
        <v>Negative slope</v>
      </c>
    </row>
    <row r="102" spans="1:8" x14ac:dyDescent="0.2">
      <c r="A102" s="20">
        <v>42222</v>
      </c>
      <c r="B102">
        <v>44.69</v>
      </c>
      <c r="C102">
        <f t="shared" si="4"/>
        <v>49.06428571428571</v>
      </c>
      <c r="D102">
        <f t="shared" si="6"/>
        <v>44.69</v>
      </c>
      <c r="E102">
        <f t="shared" si="7"/>
        <v>61.36</v>
      </c>
      <c r="H102" t="str">
        <f t="shared" si="5"/>
        <v>Negative slope</v>
      </c>
    </row>
    <row r="103" spans="1:8" x14ac:dyDescent="0.2">
      <c r="A103" s="20">
        <v>42221</v>
      </c>
      <c r="B103">
        <v>45.13</v>
      </c>
      <c r="C103">
        <f t="shared" si="4"/>
        <v>49.393809523809523</v>
      </c>
      <c r="D103">
        <f t="shared" si="6"/>
        <v>45.13</v>
      </c>
      <c r="E103">
        <f t="shared" si="7"/>
        <v>61.36</v>
      </c>
      <c r="H103" t="str">
        <f t="shared" si="5"/>
        <v>Negative slope</v>
      </c>
    </row>
    <row r="104" spans="1:8" x14ac:dyDescent="0.2">
      <c r="A104" s="20">
        <v>42220</v>
      </c>
      <c r="B104">
        <v>45.75</v>
      </c>
      <c r="C104">
        <f t="shared" si="4"/>
        <v>49.736666666666665</v>
      </c>
      <c r="D104">
        <f t="shared" si="6"/>
        <v>45.25</v>
      </c>
      <c r="E104">
        <f t="shared" si="7"/>
        <v>61.36</v>
      </c>
      <c r="H104" t="str">
        <f t="shared" si="5"/>
        <v>Negative slope</v>
      </c>
    </row>
    <row r="105" spans="1:8" x14ac:dyDescent="0.2">
      <c r="A105" s="20">
        <v>42219</v>
      </c>
      <c r="B105">
        <v>45.25</v>
      </c>
      <c r="C105">
        <f t="shared" si="4"/>
        <v>50.057142857142857</v>
      </c>
      <c r="D105">
        <f t="shared" si="6"/>
        <v>45.25</v>
      </c>
      <c r="E105">
        <f t="shared" si="7"/>
        <v>61.36</v>
      </c>
      <c r="H105" t="str">
        <f t="shared" si="5"/>
        <v>Negative slope</v>
      </c>
    </row>
    <row r="106" spans="1:8" x14ac:dyDescent="0.2">
      <c r="A106" s="20">
        <v>42216</v>
      </c>
      <c r="B106">
        <v>47.11</v>
      </c>
      <c r="C106">
        <f t="shared" si="4"/>
        <v>50.613333333333337</v>
      </c>
      <c r="D106">
        <f t="shared" si="6"/>
        <v>47.11</v>
      </c>
      <c r="E106">
        <f t="shared" si="7"/>
        <v>61.36</v>
      </c>
      <c r="H106" t="str">
        <f t="shared" si="5"/>
        <v>Negative slope</v>
      </c>
    </row>
    <row r="107" spans="1:8" x14ac:dyDescent="0.2">
      <c r="A107" s="20">
        <v>42215</v>
      </c>
      <c r="B107">
        <v>48.53</v>
      </c>
      <c r="C107">
        <f t="shared" si="4"/>
        <v>51.080952380952375</v>
      </c>
      <c r="D107">
        <f t="shared" si="6"/>
        <v>47.17</v>
      </c>
      <c r="E107">
        <f t="shared" si="7"/>
        <v>61.36</v>
      </c>
      <c r="H107" t="str">
        <f t="shared" si="5"/>
        <v>Negative slope</v>
      </c>
    </row>
    <row r="108" spans="1:8" x14ac:dyDescent="0.2">
      <c r="A108" s="20">
        <v>42214</v>
      </c>
      <c r="B108">
        <v>48.77</v>
      </c>
      <c r="C108">
        <f t="shared" si="4"/>
        <v>51.481428571428566</v>
      </c>
      <c r="D108">
        <f t="shared" si="6"/>
        <v>47.17</v>
      </c>
      <c r="E108">
        <f t="shared" si="7"/>
        <v>61.36</v>
      </c>
      <c r="H108" t="str">
        <f t="shared" si="5"/>
        <v>Negative slope</v>
      </c>
    </row>
    <row r="109" spans="1:8" x14ac:dyDescent="0.2">
      <c r="A109" s="20">
        <v>42213</v>
      </c>
      <c r="B109">
        <v>47.97</v>
      </c>
      <c r="C109">
        <f t="shared" si="4"/>
        <v>51.991428571428571</v>
      </c>
      <c r="D109">
        <f t="shared" si="6"/>
        <v>47.17</v>
      </c>
      <c r="E109">
        <f t="shared" si="7"/>
        <v>61.36</v>
      </c>
      <c r="H109" t="str">
        <f t="shared" si="5"/>
        <v>Negative slope</v>
      </c>
    </row>
    <row r="110" spans="1:8" x14ac:dyDescent="0.2">
      <c r="A110" s="20">
        <v>42212</v>
      </c>
      <c r="B110">
        <v>47.17</v>
      </c>
      <c r="C110">
        <f t="shared" si="4"/>
        <v>52.485238095238088</v>
      </c>
      <c r="D110">
        <f t="shared" si="6"/>
        <v>47.17</v>
      </c>
      <c r="E110">
        <f t="shared" si="7"/>
        <v>61.36</v>
      </c>
      <c r="H110" t="str">
        <f t="shared" si="5"/>
        <v>Negative slope</v>
      </c>
    </row>
    <row r="111" spans="1:8" x14ac:dyDescent="0.2">
      <c r="A111" s="20">
        <v>42209</v>
      </c>
      <c r="B111">
        <v>47.98</v>
      </c>
      <c r="C111">
        <f t="shared" si="4"/>
        <v>53.068095238095232</v>
      </c>
      <c r="D111">
        <f t="shared" si="6"/>
        <v>47.98</v>
      </c>
      <c r="E111">
        <f t="shared" si="7"/>
        <v>61.36</v>
      </c>
      <c r="H111" t="str">
        <f t="shared" si="5"/>
        <v>Negative slope</v>
      </c>
    </row>
    <row r="112" spans="1:8" x14ac:dyDescent="0.2">
      <c r="A112" s="20">
        <v>42208</v>
      </c>
      <c r="B112">
        <v>48.11</v>
      </c>
      <c r="C112">
        <f t="shared" si="4"/>
        <v>53.620952380952382</v>
      </c>
      <c r="D112">
        <f t="shared" si="6"/>
        <v>48.11</v>
      </c>
      <c r="E112">
        <f t="shared" si="7"/>
        <v>61.36</v>
      </c>
      <c r="H112" t="str">
        <f t="shared" si="5"/>
        <v>Negative slope</v>
      </c>
    </row>
    <row r="113" spans="1:8" x14ac:dyDescent="0.2">
      <c r="A113" s="20">
        <v>42207</v>
      </c>
      <c r="B113">
        <v>49.27</v>
      </c>
      <c r="C113">
        <f t="shared" si="4"/>
        <v>54.187619047619052</v>
      </c>
      <c r="D113">
        <f t="shared" si="6"/>
        <v>49.27</v>
      </c>
      <c r="E113">
        <f t="shared" si="7"/>
        <v>61.36</v>
      </c>
      <c r="H113" t="str">
        <f t="shared" si="5"/>
        <v>Negative slope</v>
      </c>
    </row>
    <row r="114" spans="1:8" x14ac:dyDescent="0.2">
      <c r="A114" s="20">
        <v>42206</v>
      </c>
      <c r="B114">
        <v>50.59</v>
      </c>
      <c r="C114">
        <f t="shared" si="4"/>
        <v>54.748571428571417</v>
      </c>
      <c r="D114">
        <f t="shared" si="6"/>
        <v>50.11</v>
      </c>
      <c r="E114">
        <f t="shared" si="7"/>
        <v>61.36</v>
      </c>
      <c r="H114" t="str">
        <f t="shared" si="5"/>
        <v>Negative slope</v>
      </c>
    </row>
    <row r="115" spans="1:8" x14ac:dyDescent="0.2">
      <c r="A115" s="20">
        <v>42205</v>
      </c>
      <c r="B115">
        <v>50.11</v>
      </c>
      <c r="C115">
        <f t="shared" si="4"/>
        <v>55.197142857142865</v>
      </c>
      <c r="D115">
        <f t="shared" si="6"/>
        <v>50.11</v>
      </c>
      <c r="E115">
        <f t="shared" si="7"/>
        <v>61.36</v>
      </c>
      <c r="H115" t="str">
        <f t="shared" si="5"/>
        <v>Negative slope</v>
      </c>
    </row>
    <row r="116" spans="1:8" x14ac:dyDescent="0.2">
      <c r="A116" s="20">
        <v>42202</v>
      </c>
      <c r="B116">
        <v>50.88</v>
      </c>
      <c r="C116">
        <f t="shared" si="4"/>
        <v>55.649999999999991</v>
      </c>
      <c r="D116">
        <f t="shared" si="6"/>
        <v>50.88</v>
      </c>
      <c r="E116">
        <f t="shared" si="7"/>
        <v>61.36</v>
      </c>
      <c r="H116" t="str">
        <f t="shared" si="5"/>
        <v>Negative slope</v>
      </c>
    </row>
    <row r="117" spans="1:8" x14ac:dyDescent="0.2">
      <c r="A117" s="20">
        <v>42201</v>
      </c>
      <c r="B117">
        <v>50.9</v>
      </c>
      <c r="C117">
        <f t="shared" si="4"/>
        <v>56.103809523809524</v>
      </c>
      <c r="D117">
        <f t="shared" si="6"/>
        <v>50.9</v>
      </c>
      <c r="E117">
        <f t="shared" si="7"/>
        <v>61.36</v>
      </c>
      <c r="H117" t="str">
        <f t="shared" si="5"/>
        <v>Negative slope</v>
      </c>
    </row>
    <row r="118" spans="1:8" x14ac:dyDescent="0.2">
      <c r="A118" s="20">
        <v>42200</v>
      </c>
      <c r="B118">
        <v>51.4</v>
      </c>
      <c r="C118">
        <f t="shared" si="4"/>
        <v>56.531904761904762</v>
      </c>
      <c r="D118">
        <f t="shared" si="6"/>
        <v>51.4</v>
      </c>
      <c r="E118">
        <f t="shared" si="7"/>
        <v>61.36</v>
      </c>
      <c r="H118" t="str">
        <f t="shared" si="5"/>
        <v>Negative slope</v>
      </c>
    </row>
    <row r="119" spans="1:8" x14ac:dyDescent="0.2">
      <c r="A119" s="20">
        <v>42199</v>
      </c>
      <c r="B119">
        <v>53.05</v>
      </c>
      <c r="C119">
        <f t="shared" si="4"/>
        <v>56.941904761904773</v>
      </c>
      <c r="D119">
        <f t="shared" si="6"/>
        <v>51.61</v>
      </c>
      <c r="E119">
        <f t="shared" si="7"/>
        <v>61.36</v>
      </c>
      <c r="H119" t="str">
        <f t="shared" si="5"/>
        <v>Negative slope</v>
      </c>
    </row>
    <row r="120" spans="1:8" x14ac:dyDescent="0.2">
      <c r="A120" s="20">
        <v>42198</v>
      </c>
      <c r="B120">
        <v>52.19</v>
      </c>
      <c r="C120">
        <f t="shared" si="4"/>
        <v>57.250476190476192</v>
      </c>
      <c r="D120">
        <f t="shared" si="6"/>
        <v>51.61</v>
      </c>
      <c r="E120">
        <f t="shared" si="7"/>
        <v>61.36</v>
      </c>
      <c r="H120" t="str">
        <f t="shared" si="5"/>
        <v>Negative slope</v>
      </c>
    </row>
    <row r="121" spans="1:8" x14ac:dyDescent="0.2">
      <c r="A121" s="20">
        <v>42195</v>
      </c>
      <c r="B121">
        <v>52.74</v>
      </c>
      <c r="C121">
        <f t="shared" si="4"/>
        <v>57.62047619047619</v>
      </c>
      <c r="D121">
        <f t="shared" si="6"/>
        <v>51.61</v>
      </c>
      <c r="E121">
        <f t="shared" si="7"/>
        <v>61.36</v>
      </c>
      <c r="H121" t="str">
        <f t="shared" si="5"/>
        <v>Negative slope</v>
      </c>
    </row>
    <row r="122" spans="1:8" x14ac:dyDescent="0.2">
      <c r="A122" s="20">
        <v>42194</v>
      </c>
      <c r="B122">
        <v>52.76</v>
      </c>
      <c r="C122">
        <f t="shared" si="4"/>
        <v>58.001428571428569</v>
      </c>
      <c r="D122">
        <f t="shared" si="6"/>
        <v>51.61</v>
      </c>
      <c r="E122">
        <f t="shared" si="7"/>
        <v>61.36</v>
      </c>
      <c r="H122" t="str">
        <f t="shared" si="5"/>
        <v>Negative slope</v>
      </c>
    </row>
    <row r="123" spans="1:8" x14ac:dyDescent="0.2">
      <c r="A123" s="20">
        <v>42193</v>
      </c>
      <c r="B123">
        <v>51.61</v>
      </c>
      <c r="C123">
        <f t="shared" si="4"/>
        <v>58.410952380952374</v>
      </c>
      <c r="D123">
        <f t="shared" si="6"/>
        <v>51.61</v>
      </c>
      <c r="E123">
        <f t="shared" si="7"/>
        <v>61.36</v>
      </c>
      <c r="H123" t="str">
        <f t="shared" si="5"/>
        <v>Negative slope</v>
      </c>
    </row>
    <row r="124" spans="1:8" x14ac:dyDescent="0.2">
      <c r="A124" s="20">
        <v>42192</v>
      </c>
      <c r="B124">
        <v>52.33</v>
      </c>
      <c r="C124">
        <f t="shared" si="4"/>
        <v>58.81761904761904</v>
      </c>
      <c r="D124">
        <f t="shared" si="6"/>
        <v>52.33</v>
      </c>
      <c r="E124">
        <f t="shared" si="7"/>
        <v>61.36</v>
      </c>
      <c r="H124" t="str">
        <f t="shared" si="5"/>
        <v>Negative slope</v>
      </c>
    </row>
    <row r="125" spans="1:8" x14ac:dyDescent="0.2">
      <c r="A125" s="20">
        <v>42191</v>
      </c>
      <c r="B125">
        <v>52.48</v>
      </c>
      <c r="C125">
        <f t="shared" si="4"/>
        <v>59.094761904761903</v>
      </c>
      <c r="D125">
        <f t="shared" si="6"/>
        <v>52.48</v>
      </c>
      <c r="E125">
        <f t="shared" si="7"/>
        <v>61.36</v>
      </c>
      <c r="H125" t="str">
        <f t="shared" si="5"/>
        <v>Negative slope</v>
      </c>
    </row>
    <row r="126" spans="1:8" x14ac:dyDescent="0.2">
      <c r="A126" s="20">
        <v>42188</v>
      </c>
      <c r="B126">
        <v>56.93</v>
      </c>
      <c r="C126">
        <f t="shared" si="4"/>
        <v>59.410476190476189</v>
      </c>
      <c r="D126">
        <f t="shared" si="6"/>
        <v>55.56</v>
      </c>
      <c r="E126">
        <f t="shared" si="7"/>
        <v>61.36</v>
      </c>
      <c r="H126" t="str">
        <f t="shared" si="5"/>
        <v>Negative slope</v>
      </c>
    </row>
    <row r="127" spans="1:8" x14ac:dyDescent="0.2">
      <c r="A127" s="20">
        <v>42187</v>
      </c>
      <c r="B127">
        <v>56.93</v>
      </c>
      <c r="C127">
        <f t="shared" si="4"/>
        <v>59.461428571428577</v>
      </c>
      <c r="D127">
        <f t="shared" si="6"/>
        <v>55.56</v>
      </c>
      <c r="E127">
        <f t="shared" si="7"/>
        <v>61.36</v>
      </c>
      <c r="H127" t="str">
        <f t="shared" si="5"/>
        <v>Negative slope</v>
      </c>
    </row>
    <row r="128" spans="1:8" x14ac:dyDescent="0.2">
      <c r="A128" s="20">
        <v>42186</v>
      </c>
      <c r="B128">
        <v>56.94</v>
      </c>
      <c r="C128">
        <f t="shared" si="4"/>
        <v>59.591904761904757</v>
      </c>
      <c r="D128">
        <f t="shared" si="6"/>
        <v>55.56</v>
      </c>
      <c r="E128">
        <f t="shared" si="7"/>
        <v>61.36</v>
      </c>
      <c r="H128" t="str">
        <f t="shared" si="5"/>
        <v>Negative slope</v>
      </c>
    </row>
    <row r="129" spans="1:8" x14ac:dyDescent="0.2">
      <c r="A129" s="20">
        <v>42185</v>
      </c>
      <c r="B129">
        <v>59.48</v>
      </c>
      <c r="C129">
        <f t="shared" si="4"/>
        <v>59.799523809523805</v>
      </c>
      <c r="D129">
        <f t="shared" si="6"/>
        <v>55.56</v>
      </c>
      <c r="E129">
        <f t="shared" si="7"/>
        <v>61.36</v>
      </c>
      <c r="H129" t="str">
        <f t="shared" si="5"/>
        <v>Negative slope</v>
      </c>
    </row>
    <row r="130" spans="1:8" x14ac:dyDescent="0.2">
      <c r="A130" s="20">
        <v>42184</v>
      </c>
      <c r="B130">
        <v>58.34</v>
      </c>
      <c r="C130">
        <f t="shared" ref="C130:C193" si="8">AVERAGE(B130:B150)</f>
        <v>59.835714285714282</v>
      </c>
      <c r="D130">
        <f t="shared" si="6"/>
        <v>55.56</v>
      </c>
      <c r="E130">
        <f t="shared" si="7"/>
        <v>61.36</v>
      </c>
      <c r="H130" t="str">
        <f t="shared" ref="H130:H193" si="9">IF((C130-C131)&gt;0, "Positive slope", "Negative slope")</f>
        <v>Negative slope</v>
      </c>
    </row>
    <row r="131" spans="1:8" x14ac:dyDescent="0.2">
      <c r="A131" s="20">
        <v>42181</v>
      </c>
      <c r="B131">
        <v>59.41</v>
      </c>
      <c r="C131">
        <f t="shared" si="8"/>
        <v>59.926666666666669</v>
      </c>
      <c r="D131">
        <f t="shared" ref="D131:D194" si="10">MIN(B131:B180)</f>
        <v>55.56</v>
      </c>
      <c r="E131">
        <f t="shared" ref="E131:E194" si="11">MAX(B131:B180)</f>
        <v>61.36</v>
      </c>
      <c r="H131" t="str">
        <f t="shared" si="9"/>
        <v>Positive slope</v>
      </c>
    </row>
    <row r="132" spans="1:8" x14ac:dyDescent="0.2">
      <c r="A132" s="20">
        <v>42180</v>
      </c>
      <c r="B132">
        <v>59.59</v>
      </c>
      <c r="C132">
        <f t="shared" si="8"/>
        <v>59.844761904761903</v>
      </c>
      <c r="D132">
        <f t="shared" si="10"/>
        <v>55.56</v>
      </c>
      <c r="E132">
        <f t="shared" si="11"/>
        <v>61.36</v>
      </c>
      <c r="H132" t="str">
        <f t="shared" si="9"/>
        <v>Positive slope</v>
      </c>
    </row>
    <row r="133" spans="1:8" x14ac:dyDescent="0.2">
      <c r="A133" s="20">
        <v>42179</v>
      </c>
      <c r="B133">
        <v>60.01</v>
      </c>
      <c r="C133">
        <f t="shared" si="8"/>
        <v>59.745714285714278</v>
      </c>
      <c r="D133">
        <f t="shared" si="10"/>
        <v>55.56</v>
      </c>
      <c r="E133">
        <f t="shared" si="11"/>
        <v>61.36</v>
      </c>
      <c r="H133" t="str">
        <f t="shared" si="9"/>
        <v>Positive slope</v>
      </c>
    </row>
    <row r="134" spans="1:8" x14ac:dyDescent="0.2">
      <c r="A134" s="20">
        <v>42178</v>
      </c>
      <c r="B134">
        <v>61.05</v>
      </c>
      <c r="C134">
        <f t="shared" si="8"/>
        <v>59.616190476190468</v>
      </c>
      <c r="D134">
        <f t="shared" si="10"/>
        <v>55.56</v>
      </c>
      <c r="E134">
        <f t="shared" si="11"/>
        <v>61.36</v>
      </c>
      <c r="H134" t="str">
        <f t="shared" si="9"/>
        <v>Positive slope</v>
      </c>
    </row>
    <row r="135" spans="1:8" x14ac:dyDescent="0.2">
      <c r="A135" s="20">
        <v>42177</v>
      </c>
      <c r="B135">
        <v>60.01</v>
      </c>
      <c r="C135">
        <f t="shared" si="8"/>
        <v>59.512857142857143</v>
      </c>
      <c r="D135">
        <f t="shared" si="10"/>
        <v>53.3</v>
      </c>
      <c r="E135">
        <f t="shared" si="11"/>
        <v>61.36</v>
      </c>
      <c r="H135" t="str">
        <f t="shared" si="9"/>
        <v>Positive slope</v>
      </c>
    </row>
    <row r="136" spans="1:8" x14ac:dyDescent="0.2">
      <c r="A136" s="20">
        <v>42174</v>
      </c>
      <c r="B136">
        <v>59.62</v>
      </c>
      <c r="C136">
        <f t="shared" si="8"/>
        <v>59.459047619047624</v>
      </c>
      <c r="D136">
        <f t="shared" si="10"/>
        <v>51.95</v>
      </c>
      <c r="E136">
        <f t="shared" si="11"/>
        <v>61.36</v>
      </c>
      <c r="H136" t="str">
        <f t="shared" si="9"/>
        <v>Negative slope</v>
      </c>
    </row>
    <row r="137" spans="1:8" x14ac:dyDescent="0.2">
      <c r="A137" s="20">
        <v>42173</v>
      </c>
      <c r="B137">
        <v>60.41</v>
      </c>
      <c r="C137">
        <f t="shared" si="8"/>
        <v>59.485714285714302</v>
      </c>
      <c r="D137">
        <f t="shared" si="10"/>
        <v>51.63</v>
      </c>
      <c r="E137">
        <f t="shared" si="11"/>
        <v>61.36</v>
      </c>
      <c r="H137" t="str">
        <f t="shared" si="9"/>
        <v>Positive slope</v>
      </c>
    </row>
    <row r="138" spans="1:8" x14ac:dyDescent="0.2">
      <c r="A138" s="20">
        <v>42172</v>
      </c>
      <c r="B138">
        <v>59.89</v>
      </c>
      <c r="C138">
        <f t="shared" si="8"/>
        <v>59.416666666666679</v>
      </c>
      <c r="D138">
        <f t="shared" si="10"/>
        <v>50.79</v>
      </c>
      <c r="E138">
        <f t="shared" si="11"/>
        <v>61.36</v>
      </c>
      <c r="H138" t="str">
        <f t="shared" si="9"/>
        <v>Positive slope</v>
      </c>
    </row>
    <row r="139" spans="1:8" x14ac:dyDescent="0.2">
      <c r="A139" s="20">
        <v>42171</v>
      </c>
      <c r="B139">
        <v>60.01</v>
      </c>
      <c r="C139">
        <f t="shared" si="8"/>
        <v>59.293333333333329</v>
      </c>
      <c r="D139">
        <f t="shared" si="10"/>
        <v>50.44</v>
      </c>
      <c r="E139">
        <f t="shared" si="11"/>
        <v>61.36</v>
      </c>
      <c r="H139" t="str">
        <f t="shared" si="9"/>
        <v>Positive slope</v>
      </c>
    </row>
    <row r="140" spans="1:8" x14ac:dyDescent="0.2">
      <c r="A140" s="20">
        <v>42170</v>
      </c>
      <c r="B140">
        <v>59.53</v>
      </c>
      <c r="C140">
        <f t="shared" si="8"/>
        <v>59.266190476190474</v>
      </c>
      <c r="D140">
        <f t="shared" si="10"/>
        <v>50.44</v>
      </c>
      <c r="E140">
        <f t="shared" si="11"/>
        <v>61.36</v>
      </c>
      <c r="H140" t="str">
        <f t="shared" si="9"/>
        <v>Negative slope</v>
      </c>
    </row>
    <row r="141" spans="1:8" x14ac:dyDescent="0.2">
      <c r="A141" s="20">
        <v>42167</v>
      </c>
      <c r="B141">
        <v>59.96</v>
      </c>
      <c r="C141">
        <f t="shared" si="8"/>
        <v>59.275714285714287</v>
      </c>
      <c r="D141">
        <f t="shared" si="10"/>
        <v>50.44</v>
      </c>
      <c r="E141">
        <f t="shared" si="11"/>
        <v>61.36</v>
      </c>
      <c r="H141" t="str">
        <f t="shared" si="9"/>
        <v>Positive slope</v>
      </c>
    </row>
    <row r="142" spans="1:8" x14ac:dyDescent="0.2">
      <c r="A142" s="20">
        <v>42166</v>
      </c>
      <c r="B142">
        <v>60.74</v>
      </c>
      <c r="C142">
        <f t="shared" si="8"/>
        <v>59.272380952380963</v>
      </c>
      <c r="D142">
        <f t="shared" si="10"/>
        <v>49.13</v>
      </c>
      <c r="E142">
        <f t="shared" si="11"/>
        <v>61.36</v>
      </c>
      <c r="H142" t="str">
        <f t="shared" si="9"/>
        <v>Positive slope</v>
      </c>
    </row>
    <row r="143" spans="1:8" x14ac:dyDescent="0.2">
      <c r="A143" s="20">
        <v>42165</v>
      </c>
      <c r="B143">
        <v>61.36</v>
      </c>
      <c r="C143">
        <f t="shared" si="8"/>
        <v>59.260952380952382</v>
      </c>
      <c r="D143">
        <f t="shared" si="10"/>
        <v>49.13</v>
      </c>
      <c r="E143">
        <f t="shared" si="11"/>
        <v>61.36</v>
      </c>
      <c r="H143" t="str">
        <f t="shared" si="9"/>
        <v>Positive slope</v>
      </c>
    </row>
    <row r="144" spans="1:8" x14ac:dyDescent="0.2">
      <c r="A144" s="20">
        <v>42164</v>
      </c>
      <c r="B144">
        <v>60.15</v>
      </c>
      <c r="C144">
        <f t="shared" si="8"/>
        <v>59.230476190476189</v>
      </c>
      <c r="D144">
        <f t="shared" si="10"/>
        <v>49.13</v>
      </c>
      <c r="E144">
        <f t="shared" si="11"/>
        <v>61.3</v>
      </c>
      <c r="H144" t="str">
        <f t="shared" si="9"/>
        <v>Positive slope</v>
      </c>
    </row>
    <row r="145" spans="1:8" x14ac:dyDescent="0.2">
      <c r="A145" s="20">
        <v>42163</v>
      </c>
      <c r="B145">
        <v>58.15</v>
      </c>
      <c r="C145">
        <f t="shared" si="8"/>
        <v>59.186666666666667</v>
      </c>
      <c r="D145">
        <f t="shared" si="10"/>
        <v>47.72</v>
      </c>
      <c r="E145">
        <f t="shared" si="11"/>
        <v>61.3</v>
      </c>
      <c r="H145" t="str">
        <f t="shared" si="9"/>
        <v>Negative slope</v>
      </c>
    </row>
    <row r="146" spans="1:8" x14ac:dyDescent="0.2">
      <c r="A146" s="20">
        <v>42160</v>
      </c>
      <c r="B146">
        <v>59.11</v>
      </c>
      <c r="C146">
        <f t="shared" si="8"/>
        <v>59.246666666666655</v>
      </c>
      <c r="D146">
        <f t="shared" si="10"/>
        <v>47.72</v>
      </c>
      <c r="E146">
        <f t="shared" si="11"/>
        <v>61.3</v>
      </c>
      <c r="H146" t="str">
        <f t="shared" si="9"/>
        <v>Positive slope</v>
      </c>
    </row>
    <row r="147" spans="1:8" x14ac:dyDescent="0.2">
      <c r="A147" s="20">
        <v>42159</v>
      </c>
      <c r="B147">
        <v>58</v>
      </c>
      <c r="C147">
        <f t="shared" si="8"/>
        <v>59.240952380952379</v>
      </c>
      <c r="D147">
        <f t="shared" si="10"/>
        <v>47.72</v>
      </c>
      <c r="E147">
        <f t="shared" si="11"/>
        <v>61.3</v>
      </c>
      <c r="H147" t="str">
        <f t="shared" si="9"/>
        <v>Negative slope</v>
      </c>
    </row>
    <row r="148" spans="1:8" x14ac:dyDescent="0.2">
      <c r="A148" s="20">
        <v>42158</v>
      </c>
      <c r="B148">
        <v>59.67</v>
      </c>
      <c r="C148">
        <f t="shared" si="8"/>
        <v>59.380476190476188</v>
      </c>
      <c r="D148">
        <f t="shared" si="10"/>
        <v>47.72</v>
      </c>
      <c r="E148">
        <f t="shared" si="11"/>
        <v>61.3</v>
      </c>
      <c r="H148" t="str">
        <f t="shared" si="9"/>
        <v>Negative slope</v>
      </c>
    </row>
    <row r="149" spans="1:8" x14ac:dyDescent="0.2">
      <c r="A149" s="20">
        <v>42157</v>
      </c>
      <c r="B149">
        <v>61.3</v>
      </c>
      <c r="C149">
        <f t="shared" si="8"/>
        <v>59.414285714285725</v>
      </c>
      <c r="D149">
        <f t="shared" si="10"/>
        <v>47.72</v>
      </c>
      <c r="E149">
        <f t="shared" si="11"/>
        <v>61.3</v>
      </c>
      <c r="H149" t="str">
        <f t="shared" si="9"/>
        <v>Positive slope</v>
      </c>
    </row>
    <row r="150" spans="1:8" x14ac:dyDescent="0.2">
      <c r="A150" s="20">
        <v>42156</v>
      </c>
      <c r="B150">
        <v>60.24</v>
      </c>
      <c r="C150">
        <f t="shared" si="8"/>
        <v>59.300952380952388</v>
      </c>
      <c r="D150">
        <f t="shared" si="10"/>
        <v>47.03</v>
      </c>
      <c r="E150">
        <f t="shared" si="11"/>
        <v>60.93</v>
      </c>
      <c r="H150" t="str">
        <f t="shared" si="9"/>
        <v>Positive slope</v>
      </c>
    </row>
    <row r="151" spans="1:8" x14ac:dyDescent="0.2">
      <c r="A151" s="20">
        <v>42153</v>
      </c>
      <c r="B151">
        <v>60.25</v>
      </c>
      <c r="C151">
        <f t="shared" si="8"/>
        <v>59.24666666666667</v>
      </c>
      <c r="D151">
        <f t="shared" si="10"/>
        <v>47.03</v>
      </c>
      <c r="E151">
        <f t="shared" si="11"/>
        <v>60.93</v>
      </c>
      <c r="H151" t="str">
        <f t="shared" si="9"/>
        <v>Positive slope</v>
      </c>
    </row>
    <row r="152" spans="1:8" x14ac:dyDescent="0.2">
      <c r="A152" s="20">
        <v>42152</v>
      </c>
      <c r="B152">
        <v>57.69</v>
      </c>
      <c r="C152">
        <f t="shared" si="8"/>
        <v>59.216666666666661</v>
      </c>
      <c r="D152">
        <f t="shared" si="10"/>
        <v>46</v>
      </c>
      <c r="E152">
        <f t="shared" si="11"/>
        <v>60.93</v>
      </c>
      <c r="H152" t="str">
        <f t="shared" si="9"/>
        <v>Negative slope</v>
      </c>
    </row>
    <row r="153" spans="1:8" x14ac:dyDescent="0.2">
      <c r="A153" s="20">
        <v>42151</v>
      </c>
      <c r="B153">
        <v>57.51</v>
      </c>
      <c r="C153">
        <f t="shared" si="8"/>
        <v>59.257619047619031</v>
      </c>
      <c r="D153">
        <f t="shared" si="10"/>
        <v>44.02</v>
      </c>
      <c r="E153">
        <f t="shared" si="11"/>
        <v>60.93</v>
      </c>
      <c r="H153" t="str">
        <f t="shared" si="9"/>
        <v>Positive slope</v>
      </c>
    </row>
    <row r="154" spans="1:8" x14ac:dyDescent="0.2">
      <c r="A154" s="20">
        <v>42150</v>
      </c>
      <c r="B154">
        <v>57.29</v>
      </c>
      <c r="C154">
        <f t="shared" si="8"/>
        <v>59.23571428571428</v>
      </c>
      <c r="D154">
        <f t="shared" si="10"/>
        <v>44.02</v>
      </c>
      <c r="E154">
        <f t="shared" si="11"/>
        <v>60.93</v>
      </c>
      <c r="H154" t="str">
        <f t="shared" si="9"/>
        <v>Positive slope</v>
      </c>
    </row>
    <row r="155" spans="1:8" x14ac:dyDescent="0.2">
      <c r="A155" s="20">
        <v>42149</v>
      </c>
      <c r="B155">
        <v>58.88</v>
      </c>
      <c r="C155">
        <f t="shared" si="8"/>
        <v>59.153333333333322</v>
      </c>
      <c r="D155">
        <f t="shared" si="10"/>
        <v>43.39</v>
      </c>
      <c r="E155">
        <f t="shared" si="11"/>
        <v>60.93</v>
      </c>
      <c r="H155" t="str">
        <f t="shared" si="9"/>
        <v>Positive slope</v>
      </c>
    </row>
    <row r="156" spans="1:8" x14ac:dyDescent="0.2">
      <c r="A156" s="20">
        <v>42146</v>
      </c>
      <c r="B156">
        <v>58.88</v>
      </c>
      <c r="C156">
        <f t="shared" si="8"/>
        <v>59.015238095238089</v>
      </c>
      <c r="D156">
        <f t="shared" si="10"/>
        <v>43.39</v>
      </c>
      <c r="E156">
        <f t="shared" si="11"/>
        <v>60.93</v>
      </c>
      <c r="H156" t="str">
        <f t="shared" si="9"/>
        <v>Positive slope</v>
      </c>
    </row>
    <row r="157" spans="1:8" x14ac:dyDescent="0.2">
      <c r="A157" s="20">
        <v>42145</v>
      </c>
      <c r="B157">
        <v>60.18</v>
      </c>
      <c r="C157">
        <f t="shared" si="8"/>
        <v>58.906190476190467</v>
      </c>
      <c r="D157">
        <f t="shared" si="10"/>
        <v>43.39</v>
      </c>
      <c r="E157">
        <f t="shared" si="11"/>
        <v>60.93</v>
      </c>
      <c r="H157" t="str">
        <f t="shared" si="9"/>
        <v>Positive slope</v>
      </c>
    </row>
    <row r="158" spans="1:8" x14ac:dyDescent="0.2">
      <c r="A158" s="20">
        <v>42144</v>
      </c>
      <c r="B158">
        <v>58.96</v>
      </c>
      <c r="C158">
        <f t="shared" si="8"/>
        <v>58.715238095238085</v>
      </c>
      <c r="D158">
        <f t="shared" si="10"/>
        <v>43.39</v>
      </c>
      <c r="E158">
        <f t="shared" si="11"/>
        <v>60.93</v>
      </c>
      <c r="H158" t="str">
        <f t="shared" si="9"/>
        <v>Positive slope</v>
      </c>
    </row>
    <row r="159" spans="1:8" x14ac:dyDescent="0.2">
      <c r="A159" s="20">
        <v>42143</v>
      </c>
      <c r="B159">
        <v>57.3</v>
      </c>
      <c r="C159">
        <f t="shared" si="8"/>
        <v>58.554285714285712</v>
      </c>
      <c r="D159">
        <f t="shared" si="10"/>
        <v>43.39</v>
      </c>
      <c r="E159">
        <f t="shared" si="11"/>
        <v>60.93</v>
      </c>
      <c r="H159" t="str">
        <f t="shared" si="9"/>
        <v>Positive slope</v>
      </c>
    </row>
    <row r="160" spans="1:8" x14ac:dyDescent="0.2">
      <c r="A160" s="20">
        <v>42142</v>
      </c>
      <c r="B160">
        <v>59.44</v>
      </c>
      <c r="C160">
        <f t="shared" si="8"/>
        <v>58.509999999999977</v>
      </c>
      <c r="D160">
        <f t="shared" si="10"/>
        <v>43.39</v>
      </c>
      <c r="E160">
        <f t="shared" si="11"/>
        <v>60.93</v>
      </c>
      <c r="H160" t="str">
        <f t="shared" si="9"/>
        <v>Positive slope</v>
      </c>
    </row>
    <row r="161" spans="1:8" x14ac:dyDescent="0.2">
      <c r="A161" s="20">
        <v>42139</v>
      </c>
      <c r="B161">
        <v>59.73</v>
      </c>
      <c r="C161">
        <f t="shared" si="8"/>
        <v>58.332380952380944</v>
      </c>
      <c r="D161">
        <f t="shared" si="10"/>
        <v>43.39</v>
      </c>
      <c r="E161">
        <f t="shared" si="11"/>
        <v>60.93</v>
      </c>
      <c r="H161" t="str">
        <f t="shared" si="9"/>
        <v>Positive slope</v>
      </c>
    </row>
    <row r="162" spans="1:8" x14ac:dyDescent="0.2">
      <c r="A162" s="20">
        <v>42138</v>
      </c>
      <c r="B162">
        <v>59.89</v>
      </c>
      <c r="C162">
        <f t="shared" si="8"/>
        <v>58.187619047619037</v>
      </c>
      <c r="D162">
        <f t="shared" si="10"/>
        <v>43.39</v>
      </c>
      <c r="E162">
        <f t="shared" si="11"/>
        <v>60.93</v>
      </c>
      <c r="H162" t="str">
        <f t="shared" si="9"/>
        <v>Positive slope</v>
      </c>
    </row>
    <row r="163" spans="1:8" x14ac:dyDescent="0.2">
      <c r="A163" s="20">
        <v>42137</v>
      </c>
      <c r="B163">
        <v>60.5</v>
      </c>
      <c r="C163">
        <f t="shared" si="8"/>
        <v>58.014285714285712</v>
      </c>
      <c r="D163">
        <f t="shared" si="10"/>
        <v>43.39</v>
      </c>
      <c r="E163">
        <f t="shared" si="11"/>
        <v>60.93</v>
      </c>
      <c r="H163" t="str">
        <f t="shared" si="9"/>
        <v>Positive slope</v>
      </c>
    </row>
    <row r="164" spans="1:8" x14ac:dyDescent="0.2">
      <c r="A164" s="20">
        <v>42136</v>
      </c>
      <c r="B164">
        <v>60.72</v>
      </c>
      <c r="C164">
        <f t="shared" si="8"/>
        <v>57.671428571428564</v>
      </c>
      <c r="D164">
        <f t="shared" si="10"/>
        <v>43.39</v>
      </c>
      <c r="E164">
        <f t="shared" si="11"/>
        <v>60.93</v>
      </c>
      <c r="H164" t="str">
        <f t="shared" si="9"/>
        <v>Positive slope</v>
      </c>
    </row>
    <row r="165" spans="1:8" x14ac:dyDescent="0.2">
      <c r="A165" s="20">
        <v>42135</v>
      </c>
      <c r="B165">
        <v>59.23</v>
      </c>
      <c r="C165">
        <f t="shared" si="8"/>
        <v>57.253809523809529</v>
      </c>
      <c r="D165">
        <f t="shared" si="10"/>
        <v>43.39</v>
      </c>
      <c r="E165">
        <f t="shared" si="11"/>
        <v>60.93</v>
      </c>
      <c r="H165" t="str">
        <f t="shared" si="9"/>
        <v>Positive slope</v>
      </c>
    </row>
    <row r="166" spans="1:8" x14ac:dyDescent="0.2">
      <c r="A166" s="20">
        <v>42132</v>
      </c>
      <c r="B166">
        <v>59.41</v>
      </c>
      <c r="C166">
        <f t="shared" si="8"/>
        <v>56.891904761904776</v>
      </c>
      <c r="D166">
        <f t="shared" si="10"/>
        <v>43.39</v>
      </c>
      <c r="E166">
        <f t="shared" si="11"/>
        <v>60.93</v>
      </c>
      <c r="H166" t="str">
        <f t="shared" si="9"/>
        <v>Positive slope</v>
      </c>
    </row>
    <row r="167" spans="1:8" x14ac:dyDescent="0.2">
      <c r="A167" s="20">
        <v>42131</v>
      </c>
      <c r="B167">
        <v>58.99</v>
      </c>
      <c r="C167">
        <f t="shared" si="8"/>
        <v>56.481428571428587</v>
      </c>
      <c r="D167">
        <f t="shared" si="10"/>
        <v>43.39</v>
      </c>
      <c r="E167">
        <f t="shared" si="11"/>
        <v>60.93</v>
      </c>
      <c r="H167" t="str">
        <f t="shared" si="9"/>
        <v>Positive slope</v>
      </c>
    </row>
    <row r="168" spans="1:8" x14ac:dyDescent="0.2">
      <c r="A168" s="20">
        <v>42130</v>
      </c>
      <c r="B168">
        <v>60.93</v>
      </c>
      <c r="C168">
        <f t="shared" si="8"/>
        <v>56.074285714285722</v>
      </c>
      <c r="D168">
        <f t="shared" si="10"/>
        <v>43.39</v>
      </c>
      <c r="E168">
        <f t="shared" si="11"/>
        <v>60.93</v>
      </c>
      <c r="H168" t="str">
        <f t="shared" si="9"/>
        <v>Positive slope</v>
      </c>
    </row>
    <row r="169" spans="1:8" x14ac:dyDescent="0.2">
      <c r="A169" s="20">
        <v>42129</v>
      </c>
      <c r="B169">
        <v>60.38</v>
      </c>
      <c r="C169">
        <f t="shared" si="8"/>
        <v>55.74190476190477</v>
      </c>
      <c r="D169">
        <f t="shared" si="10"/>
        <v>43.39</v>
      </c>
      <c r="E169">
        <f t="shared" si="11"/>
        <v>60.38</v>
      </c>
      <c r="H169" t="str">
        <f t="shared" si="9"/>
        <v>Positive slope</v>
      </c>
    </row>
    <row r="170" spans="1:8" x14ac:dyDescent="0.2">
      <c r="A170" s="20">
        <v>42128</v>
      </c>
      <c r="B170">
        <v>58.92</v>
      </c>
      <c r="C170">
        <f t="shared" si="8"/>
        <v>55.346666666666664</v>
      </c>
      <c r="D170">
        <f t="shared" si="10"/>
        <v>43.39</v>
      </c>
      <c r="E170">
        <f t="shared" si="11"/>
        <v>59.62</v>
      </c>
      <c r="H170" t="str">
        <f t="shared" si="9"/>
        <v>Positive slope</v>
      </c>
    </row>
    <row r="171" spans="1:8" x14ac:dyDescent="0.2">
      <c r="A171" s="20">
        <v>42125</v>
      </c>
      <c r="B171">
        <v>59.1</v>
      </c>
      <c r="C171">
        <f t="shared" si="8"/>
        <v>54.880476190476188</v>
      </c>
      <c r="D171">
        <f t="shared" si="10"/>
        <v>43.39</v>
      </c>
      <c r="E171">
        <f t="shared" si="11"/>
        <v>59.62</v>
      </c>
      <c r="H171" t="str">
        <f t="shared" si="9"/>
        <v>Positive slope</v>
      </c>
    </row>
    <row r="172" spans="1:8" x14ac:dyDescent="0.2">
      <c r="A172" s="20">
        <v>42124</v>
      </c>
      <c r="B172">
        <v>59.62</v>
      </c>
      <c r="C172">
        <f t="shared" si="8"/>
        <v>54.405714285714296</v>
      </c>
      <c r="D172">
        <f t="shared" si="10"/>
        <v>43.39</v>
      </c>
      <c r="E172">
        <f t="shared" si="11"/>
        <v>59.62</v>
      </c>
      <c r="H172" t="str">
        <f t="shared" si="9"/>
        <v>Positive slope</v>
      </c>
    </row>
    <row r="173" spans="1:8" x14ac:dyDescent="0.2">
      <c r="A173" s="20">
        <v>42123</v>
      </c>
      <c r="B173">
        <v>58.55</v>
      </c>
      <c r="C173">
        <f t="shared" si="8"/>
        <v>53.953333333333333</v>
      </c>
      <c r="D173">
        <f t="shared" si="10"/>
        <v>43.39</v>
      </c>
      <c r="E173">
        <f t="shared" si="11"/>
        <v>58.55</v>
      </c>
      <c r="H173" t="str">
        <f t="shared" si="9"/>
        <v>Positive slope</v>
      </c>
    </row>
    <row r="174" spans="1:8" x14ac:dyDescent="0.2">
      <c r="A174" s="20">
        <v>42122</v>
      </c>
      <c r="B174">
        <v>57.05</v>
      </c>
      <c r="C174">
        <f t="shared" si="8"/>
        <v>53.437619047619052</v>
      </c>
      <c r="D174">
        <f t="shared" si="10"/>
        <v>43.39</v>
      </c>
      <c r="E174">
        <f t="shared" si="11"/>
        <v>57.05</v>
      </c>
      <c r="H174" t="str">
        <f t="shared" si="9"/>
        <v>Positive slope</v>
      </c>
    </row>
    <row r="175" spans="1:8" x14ac:dyDescent="0.2">
      <c r="A175" s="20">
        <v>42121</v>
      </c>
      <c r="B175">
        <v>55.56</v>
      </c>
      <c r="C175">
        <f t="shared" si="8"/>
        <v>53.038095238095245</v>
      </c>
      <c r="D175">
        <f t="shared" si="10"/>
        <v>43.39</v>
      </c>
      <c r="E175">
        <f t="shared" si="11"/>
        <v>56.69</v>
      </c>
      <c r="H175" t="str">
        <f t="shared" si="9"/>
        <v>Positive slope</v>
      </c>
    </row>
    <row r="176" spans="1:8" x14ac:dyDescent="0.2">
      <c r="A176" s="20">
        <v>42118</v>
      </c>
      <c r="B176">
        <v>55.98</v>
      </c>
      <c r="C176">
        <f t="shared" si="8"/>
        <v>52.717619047619053</v>
      </c>
      <c r="D176">
        <f t="shared" si="10"/>
        <v>43.39</v>
      </c>
      <c r="E176">
        <f t="shared" si="11"/>
        <v>56.69</v>
      </c>
      <c r="H176" t="str">
        <f t="shared" si="9"/>
        <v>Positive slope</v>
      </c>
    </row>
    <row r="177" spans="1:8" x14ac:dyDescent="0.2">
      <c r="A177" s="20">
        <v>42117</v>
      </c>
      <c r="B177">
        <v>56.59</v>
      </c>
      <c r="C177">
        <f t="shared" si="8"/>
        <v>52.500000000000014</v>
      </c>
      <c r="D177">
        <f t="shared" si="10"/>
        <v>43.39</v>
      </c>
      <c r="E177">
        <f t="shared" si="11"/>
        <v>56.69</v>
      </c>
      <c r="H177" t="str">
        <f t="shared" si="9"/>
        <v>Positive slope</v>
      </c>
    </row>
    <row r="178" spans="1:8" x14ac:dyDescent="0.2">
      <c r="A178" s="20">
        <v>42116</v>
      </c>
      <c r="B178">
        <v>56.17</v>
      </c>
      <c r="C178">
        <f t="shared" si="8"/>
        <v>52.126666666666672</v>
      </c>
      <c r="D178">
        <f t="shared" si="10"/>
        <v>43.39</v>
      </c>
      <c r="E178">
        <f t="shared" si="11"/>
        <v>56.69</v>
      </c>
      <c r="H178" t="str">
        <f t="shared" si="9"/>
        <v>Positive slope</v>
      </c>
    </row>
    <row r="179" spans="1:8" x14ac:dyDescent="0.2">
      <c r="A179" s="20">
        <v>42115</v>
      </c>
      <c r="B179">
        <v>55.58</v>
      </c>
      <c r="C179">
        <f t="shared" si="8"/>
        <v>51.691428571428581</v>
      </c>
      <c r="D179">
        <f t="shared" si="10"/>
        <v>43.39</v>
      </c>
      <c r="E179">
        <f t="shared" si="11"/>
        <v>56.69</v>
      </c>
      <c r="H179" t="str">
        <f t="shared" si="9"/>
        <v>Positive slope</v>
      </c>
    </row>
    <row r="180" spans="1:8" x14ac:dyDescent="0.2">
      <c r="A180" s="20">
        <v>42114</v>
      </c>
      <c r="B180">
        <v>56.37</v>
      </c>
      <c r="C180">
        <f t="shared" si="8"/>
        <v>51.301904761904765</v>
      </c>
      <c r="D180">
        <f t="shared" si="10"/>
        <v>43.39</v>
      </c>
      <c r="E180">
        <f t="shared" si="11"/>
        <v>56.69</v>
      </c>
      <c r="H180" t="str">
        <f t="shared" si="9"/>
        <v>Positive slope</v>
      </c>
    </row>
    <row r="181" spans="1:8" x14ac:dyDescent="0.2">
      <c r="A181" s="20">
        <v>42111</v>
      </c>
      <c r="B181">
        <v>55.71</v>
      </c>
      <c r="C181">
        <f t="shared" si="8"/>
        <v>50.808095238095227</v>
      </c>
      <c r="D181">
        <f t="shared" si="10"/>
        <v>43.39</v>
      </c>
      <c r="E181">
        <f t="shared" si="11"/>
        <v>56.69</v>
      </c>
      <c r="H181" t="str">
        <f t="shared" si="9"/>
        <v>Positive slope</v>
      </c>
    </row>
    <row r="182" spans="1:8" x14ac:dyDescent="0.2">
      <c r="A182" s="20">
        <v>42110</v>
      </c>
      <c r="B182">
        <v>56.69</v>
      </c>
      <c r="C182">
        <f t="shared" si="8"/>
        <v>50.251428571428569</v>
      </c>
      <c r="D182">
        <f t="shared" si="10"/>
        <v>43.39</v>
      </c>
      <c r="E182">
        <f t="shared" si="11"/>
        <v>56.69</v>
      </c>
      <c r="H182" t="str">
        <f t="shared" si="9"/>
        <v>Positive slope</v>
      </c>
    </row>
    <row r="183" spans="1:8" x14ac:dyDescent="0.2">
      <c r="A183" s="20">
        <v>42109</v>
      </c>
      <c r="B183">
        <v>56.25</v>
      </c>
      <c r="C183">
        <f t="shared" si="8"/>
        <v>49.677142857142861</v>
      </c>
      <c r="D183">
        <f t="shared" si="10"/>
        <v>43.39</v>
      </c>
      <c r="E183">
        <f t="shared" si="11"/>
        <v>56.25</v>
      </c>
      <c r="H183" t="str">
        <f t="shared" si="9"/>
        <v>Positive slope</v>
      </c>
    </row>
    <row r="184" spans="1:8" x14ac:dyDescent="0.2">
      <c r="A184" s="20">
        <v>42108</v>
      </c>
      <c r="B184">
        <v>53.3</v>
      </c>
      <c r="C184">
        <f t="shared" si="8"/>
        <v>49.064761904761902</v>
      </c>
      <c r="D184">
        <f t="shared" si="10"/>
        <v>43.39</v>
      </c>
      <c r="E184">
        <f t="shared" si="11"/>
        <v>53.95</v>
      </c>
      <c r="H184" t="str">
        <f t="shared" si="9"/>
        <v>Positive slope</v>
      </c>
    </row>
    <row r="185" spans="1:8" x14ac:dyDescent="0.2">
      <c r="A185" s="20">
        <v>42107</v>
      </c>
      <c r="B185">
        <v>51.95</v>
      </c>
      <c r="C185">
        <f t="shared" si="8"/>
        <v>48.618571428571421</v>
      </c>
      <c r="D185">
        <f t="shared" si="10"/>
        <v>43.39</v>
      </c>
      <c r="E185">
        <f t="shared" si="11"/>
        <v>53.95</v>
      </c>
      <c r="H185" t="str">
        <f t="shared" si="9"/>
        <v>Positive slope</v>
      </c>
    </row>
    <row r="186" spans="1:8" x14ac:dyDescent="0.2">
      <c r="A186" s="20">
        <v>42104</v>
      </c>
      <c r="B186">
        <v>51.63</v>
      </c>
      <c r="C186">
        <f t="shared" si="8"/>
        <v>48.281904761904755</v>
      </c>
      <c r="D186">
        <f t="shared" si="10"/>
        <v>43.39</v>
      </c>
      <c r="E186">
        <f t="shared" si="11"/>
        <v>53.95</v>
      </c>
      <c r="H186" t="str">
        <f t="shared" si="9"/>
        <v>Positive slope</v>
      </c>
    </row>
    <row r="187" spans="1:8" x14ac:dyDescent="0.2">
      <c r="A187" s="20">
        <v>42103</v>
      </c>
      <c r="B187">
        <v>50.79</v>
      </c>
      <c r="C187">
        <f t="shared" si="8"/>
        <v>48.067142857142848</v>
      </c>
      <c r="D187">
        <f t="shared" si="10"/>
        <v>43.39</v>
      </c>
      <c r="E187">
        <f t="shared" si="11"/>
        <v>53.95</v>
      </c>
      <c r="H187" t="str">
        <f t="shared" si="9"/>
        <v>Positive slope</v>
      </c>
    </row>
    <row r="188" spans="1:8" x14ac:dyDescent="0.2">
      <c r="A188" s="20">
        <v>42102</v>
      </c>
      <c r="B188">
        <v>50.44</v>
      </c>
      <c r="C188">
        <f t="shared" si="8"/>
        <v>47.937142857142852</v>
      </c>
      <c r="D188">
        <f t="shared" si="10"/>
        <v>43.39</v>
      </c>
      <c r="E188">
        <f t="shared" si="11"/>
        <v>53.95</v>
      </c>
      <c r="H188" t="str">
        <f t="shared" si="9"/>
        <v>Positive slope</v>
      </c>
    </row>
    <row r="189" spans="1:8" x14ac:dyDescent="0.2">
      <c r="A189" s="20">
        <v>42101</v>
      </c>
      <c r="B189">
        <v>53.95</v>
      </c>
      <c r="C189">
        <f t="shared" si="8"/>
        <v>47.840952380952366</v>
      </c>
      <c r="D189">
        <f t="shared" si="10"/>
        <v>43.39</v>
      </c>
      <c r="E189">
        <f t="shared" si="11"/>
        <v>53.95</v>
      </c>
      <c r="H189" t="str">
        <f t="shared" si="9"/>
        <v>Positive slope</v>
      </c>
    </row>
    <row r="190" spans="1:8" x14ac:dyDescent="0.2">
      <c r="A190" s="20">
        <v>42100</v>
      </c>
      <c r="B190">
        <v>52.08</v>
      </c>
      <c r="C190">
        <f t="shared" si="8"/>
        <v>47.650476190476191</v>
      </c>
      <c r="D190">
        <f t="shared" si="10"/>
        <v>43.39</v>
      </c>
      <c r="E190">
        <f t="shared" si="11"/>
        <v>53.56</v>
      </c>
      <c r="H190" t="str">
        <f t="shared" si="9"/>
        <v>Positive slope</v>
      </c>
    </row>
    <row r="191" spans="1:8" x14ac:dyDescent="0.2">
      <c r="A191" s="20">
        <v>42097</v>
      </c>
      <c r="B191">
        <v>49.13</v>
      </c>
      <c r="C191">
        <f t="shared" si="8"/>
        <v>47.532857142857132</v>
      </c>
      <c r="D191">
        <f t="shared" si="10"/>
        <v>43.39</v>
      </c>
      <c r="E191">
        <f t="shared" si="11"/>
        <v>53.56</v>
      </c>
      <c r="H191" t="str">
        <f t="shared" si="9"/>
        <v>Negative slope</v>
      </c>
    </row>
    <row r="192" spans="1:8" x14ac:dyDescent="0.2">
      <c r="A192" s="20">
        <v>42096</v>
      </c>
      <c r="B192">
        <v>49.13</v>
      </c>
      <c r="C192">
        <f t="shared" si="8"/>
        <v>47.610476190476184</v>
      </c>
      <c r="D192">
        <f t="shared" si="10"/>
        <v>43.39</v>
      </c>
      <c r="E192">
        <f t="shared" si="11"/>
        <v>53.56</v>
      </c>
      <c r="H192" t="str">
        <f t="shared" si="9"/>
        <v>Negative slope</v>
      </c>
    </row>
    <row r="193" spans="1:8" x14ac:dyDescent="0.2">
      <c r="A193" s="20">
        <v>42095</v>
      </c>
      <c r="B193">
        <v>50.12</v>
      </c>
      <c r="C193">
        <f t="shared" si="8"/>
        <v>47.724761904761898</v>
      </c>
      <c r="D193">
        <f t="shared" si="10"/>
        <v>43.39</v>
      </c>
      <c r="E193">
        <f t="shared" si="11"/>
        <v>53.56</v>
      </c>
      <c r="H193" t="str">
        <f t="shared" si="9"/>
        <v>Negative slope</v>
      </c>
    </row>
    <row r="194" spans="1:8" x14ac:dyDescent="0.2">
      <c r="A194" s="20">
        <v>42094</v>
      </c>
      <c r="B194">
        <v>47.72</v>
      </c>
      <c r="C194">
        <f t="shared" ref="C194:C257" si="12">AVERAGE(B194:B214)</f>
        <v>47.739523809523803</v>
      </c>
      <c r="D194">
        <f t="shared" si="10"/>
        <v>43.39</v>
      </c>
      <c r="E194">
        <f t="shared" si="11"/>
        <v>53.56</v>
      </c>
      <c r="H194" t="str">
        <f t="shared" ref="H194:H257" si="13">IF((C194-C195)&gt;0, "Positive slope", "Negative slope")</f>
        <v>Negative slope</v>
      </c>
    </row>
    <row r="195" spans="1:8" x14ac:dyDescent="0.2">
      <c r="A195" s="20">
        <v>42093</v>
      </c>
      <c r="B195">
        <v>48.66</v>
      </c>
      <c r="C195">
        <f t="shared" si="12"/>
        <v>47.828571428571422</v>
      </c>
      <c r="D195">
        <f t="shared" ref="D195:D258" si="14">MIN(B195:B244)</f>
        <v>43.39</v>
      </c>
      <c r="E195">
        <f t="shared" ref="E195:E258" si="15">MAX(B195:B244)</f>
        <v>53.56</v>
      </c>
      <c r="H195" t="str">
        <f t="shared" si="13"/>
        <v>Negative slope</v>
      </c>
    </row>
    <row r="196" spans="1:8" x14ac:dyDescent="0.2">
      <c r="A196" s="20">
        <v>42090</v>
      </c>
      <c r="B196">
        <v>48.83</v>
      </c>
      <c r="C196">
        <f t="shared" si="12"/>
        <v>47.884761904761909</v>
      </c>
      <c r="D196">
        <f t="shared" si="14"/>
        <v>43.39</v>
      </c>
      <c r="E196">
        <f t="shared" si="15"/>
        <v>53.56</v>
      </c>
      <c r="H196" t="str">
        <f t="shared" si="13"/>
        <v>Positive slope</v>
      </c>
    </row>
    <row r="197" spans="1:8" x14ac:dyDescent="0.2">
      <c r="A197" s="20">
        <v>42089</v>
      </c>
      <c r="B197">
        <v>51.41</v>
      </c>
      <c r="C197">
        <f t="shared" si="12"/>
        <v>47.828571428571429</v>
      </c>
      <c r="D197">
        <f t="shared" si="14"/>
        <v>43.39</v>
      </c>
      <c r="E197">
        <f t="shared" si="15"/>
        <v>53.56</v>
      </c>
      <c r="H197" t="str">
        <f t="shared" si="13"/>
        <v>Positive slope</v>
      </c>
    </row>
    <row r="198" spans="1:8" x14ac:dyDescent="0.2">
      <c r="A198" s="20">
        <v>42088</v>
      </c>
      <c r="B198">
        <v>48.75</v>
      </c>
      <c r="C198">
        <f t="shared" si="12"/>
        <v>47.773333333333333</v>
      </c>
      <c r="D198">
        <f t="shared" si="14"/>
        <v>43.39</v>
      </c>
      <c r="E198">
        <f t="shared" si="15"/>
        <v>53.56</v>
      </c>
      <c r="H198" t="str">
        <f t="shared" si="13"/>
        <v>Positive slope</v>
      </c>
    </row>
    <row r="199" spans="1:8" x14ac:dyDescent="0.2">
      <c r="A199" s="20">
        <v>42087</v>
      </c>
      <c r="B199">
        <v>47.03</v>
      </c>
      <c r="C199">
        <f t="shared" si="12"/>
        <v>47.76047619047619</v>
      </c>
      <c r="D199">
        <f t="shared" si="14"/>
        <v>43.39</v>
      </c>
      <c r="E199">
        <f t="shared" si="15"/>
        <v>53.56</v>
      </c>
      <c r="H199" t="str">
        <f t="shared" si="13"/>
        <v>Negative slope</v>
      </c>
    </row>
    <row r="200" spans="1:8" x14ac:dyDescent="0.2">
      <c r="A200" s="20">
        <v>42086</v>
      </c>
      <c r="B200">
        <v>47.4</v>
      </c>
      <c r="C200">
        <f t="shared" si="12"/>
        <v>47.88095238095238</v>
      </c>
      <c r="D200">
        <f t="shared" si="14"/>
        <v>43.39</v>
      </c>
      <c r="E200">
        <f t="shared" si="15"/>
        <v>53.56</v>
      </c>
      <c r="H200" t="str">
        <f t="shared" si="13"/>
        <v>Negative slope</v>
      </c>
    </row>
    <row r="201" spans="1:8" x14ac:dyDescent="0.2">
      <c r="A201" s="20">
        <v>42083</v>
      </c>
      <c r="B201">
        <v>46</v>
      </c>
      <c r="C201">
        <f t="shared" si="12"/>
        <v>48.00238095238096</v>
      </c>
      <c r="D201">
        <f t="shared" si="14"/>
        <v>43.39</v>
      </c>
      <c r="E201">
        <f t="shared" si="15"/>
        <v>53.56</v>
      </c>
      <c r="H201" t="str">
        <f t="shared" si="13"/>
        <v>Negative slope</v>
      </c>
    </row>
    <row r="202" spans="1:8" x14ac:dyDescent="0.2">
      <c r="A202" s="20">
        <v>42082</v>
      </c>
      <c r="B202">
        <v>44.02</v>
      </c>
      <c r="C202">
        <f t="shared" si="12"/>
        <v>48.246190476190485</v>
      </c>
      <c r="D202">
        <f t="shared" si="14"/>
        <v>43.39</v>
      </c>
      <c r="E202">
        <f t="shared" si="15"/>
        <v>53.56</v>
      </c>
      <c r="H202" t="str">
        <f t="shared" si="13"/>
        <v>Negative slope</v>
      </c>
    </row>
    <row r="203" spans="1:8" x14ac:dyDescent="0.2">
      <c r="A203" s="20">
        <v>42081</v>
      </c>
      <c r="B203">
        <v>44.63</v>
      </c>
      <c r="C203">
        <f t="shared" si="12"/>
        <v>48.632380952380949</v>
      </c>
      <c r="D203">
        <f t="shared" si="14"/>
        <v>43.39</v>
      </c>
      <c r="E203">
        <f t="shared" si="15"/>
        <v>53.56</v>
      </c>
      <c r="H203" t="str">
        <f t="shared" si="13"/>
        <v>Negative slope</v>
      </c>
    </row>
    <row r="204" spans="1:8" x14ac:dyDescent="0.2">
      <c r="A204" s="20">
        <v>42080</v>
      </c>
      <c r="B204">
        <v>43.39</v>
      </c>
      <c r="C204">
        <f t="shared" si="12"/>
        <v>49.057619047619049</v>
      </c>
      <c r="D204">
        <f t="shared" si="14"/>
        <v>43.39</v>
      </c>
      <c r="E204">
        <f t="shared" si="15"/>
        <v>53.56</v>
      </c>
      <c r="H204" t="str">
        <f t="shared" si="13"/>
        <v>Negative slope</v>
      </c>
    </row>
    <row r="205" spans="1:8" x14ac:dyDescent="0.2">
      <c r="A205" s="20">
        <v>42079</v>
      </c>
      <c r="B205">
        <v>43.93</v>
      </c>
      <c r="C205">
        <f t="shared" si="12"/>
        <v>49.499047619047623</v>
      </c>
      <c r="D205">
        <f t="shared" si="14"/>
        <v>43.93</v>
      </c>
      <c r="E205">
        <f t="shared" si="15"/>
        <v>53.56</v>
      </c>
      <c r="H205" t="str">
        <f t="shared" si="13"/>
        <v>Negative slope</v>
      </c>
    </row>
    <row r="206" spans="1:8" x14ac:dyDescent="0.2">
      <c r="A206" s="20">
        <v>42076</v>
      </c>
      <c r="B206">
        <v>44.88</v>
      </c>
      <c r="C206">
        <f t="shared" si="12"/>
        <v>49.914761904761903</v>
      </c>
      <c r="D206">
        <f t="shared" si="14"/>
        <v>44.08</v>
      </c>
      <c r="E206">
        <f t="shared" si="15"/>
        <v>53.56</v>
      </c>
      <c r="H206" t="str">
        <f t="shared" si="13"/>
        <v>Negative slope</v>
      </c>
    </row>
    <row r="207" spans="1:8" x14ac:dyDescent="0.2">
      <c r="A207" s="20">
        <v>42075</v>
      </c>
      <c r="B207">
        <v>47.12</v>
      </c>
      <c r="C207">
        <f t="shared" si="12"/>
        <v>50.214285714285715</v>
      </c>
      <c r="D207">
        <f t="shared" si="14"/>
        <v>44.08</v>
      </c>
      <c r="E207">
        <f t="shared" si="15"/>
        <v>53.56</v>
      </c>
      <c r="H207" t="str">
        <f t="shared" si="13"/>
        <v>Negative slope</v>
      </c>
    </row>
    <row r="208" spans="1:8" x14ac:dyDescent="0.2">
      <c r="A208" s="20">
        <v>42074</v>
      </c>
      <c r="B208">
        <v>48.06</v>
      </c>
      <c r="C208">
        <f t="shared" si="12"/>
        <v>50.294285714285721</v>
      </c>
      <c r="D208">
        <f t="shared" si="14"/>
        <v>44.08</v>
      </c>
      <c r="E208">
        <f t="shared" si="15"/>
        <v>54.14</v>
      </c>
      <c r="H208" t="str">
        <f t="shared" si="13"/>
        <v>Negative slope</v>
      </c>
    </row>
    <row r="209" spans="1:8" x14ac:dyDescent="0.2">
      <c r="A209" s="20">
        <v>42073</v>
      </c>
      <c r="B209">
        <v>48.42</v>
      </c>
      <c r="C209">
        <f t="shared" si="12"/>
        <v>50.389523809523801</v>
      </c>
      <c r="D209">
        <f t="shared" si="14"/>
        <v>44.08</v>
      </c>
      <c r="E209">
        <f t="shared" si="15"/>
        <v>54.14</v>
      </c>
      <c r="H209" t="str">
        <f t="shared" si="13"/>
        <v>Negative slope</v>
      </c>
    </row>
    <row r="210" spans="1:8" x14ac:dyDescent="0.2">
      <c r="A210" s="20">
        <v>42072</v>
      </c>
      <c r="B210">
        <v>49.95</v>
      </c>
      <c r="C210">
        <f t="shared" si="12"/>
        <v>50.607142857142854</v>
      </c>
      <c r="D210">
        <f t="shared" si="14"/>
        <v>44.08</v>
      </c>
      <c r="E210">
        <f t="shared" si="15"/>
        <v>54.59</v>
      </c>
      <c r="H210" t="str">
        <f t="shared" si="13"/>
        <v>Negative slope</v>
      </c>
    </row>
    <row r="211" spans="1:8" x14ac:dyDescent="0.2">
      <c r="A211" s="20">
        <v>42069</v>
      </c>
      <c r="B211">
        <v>49.61</v>
      </c>
      <c r="C211">
        <f t="shared" si="12"/>
        <v>50.688571428571429</v>
      </c>
      <c r="D211">
        <f t="shared" si="14"/>
        <v>44.08</v>
      </c>
      <c r="E211">
        <f t="shared" si="15"/>
        <v>55.7</v>
      </c>
      <c r="H211" t="str">
        <f t="shared" si="13"/>
        <v>Negative slope</v>
      </c>
    </row>
    <row r="212" spans="1:8" x14ac:dyDescent="0.2">
      <c r="A212" s="20">
        <v>42068</v>
      </c>
      <c r="B212">
        <v>50.76</v>
      </c>
      <c r="C212">
        <f t="shared" si="12"/>
        <v>50.729999999999983</v>
      </c>
      <c r="D212">
        <f t="shared" si="14"/>
        <v>44.08</v>
      </c>
      <c r="E212">
        <f t="shared" si="15"/>
        <v>56.78</v>
      </c>
      <c r="H212" t="str">
        <f t="shared" si="13"/>
        <v>Positive slope</v>
      </c>
    </row>
    <row r="213" spans="1:8" x14ac:dyDescent="0.2">
      <c r="A213" s="20">
        <v>42067</v>
      </c>
      <c r="B213">
        <v>51.53</v>
      </c>
      <c r="C213">
        <f t="shared" si="12"/>
        <v>50.62</v>
      </c>
      <c r="D213">
        <f t="shared" si="14"/>
        <v>44.08</v>
      </c>
      <c r="E213">
        <f t="shared" si="15"/>
        <v>56.78</v>
      </c>
      <c r="H213" t="str">
        <f t="shared" si="13"/>
        <v>Negative slope</v>
      </c>
    </row>
    <row r="214" spans="1:8" x14ac:dyDescent="0.2">
      <c r="A214" s="20">
        <v>42066</v>
      </c>
      <c r="B214">
        <v>50.43</v>
      </c>
      <c r="C214">
        <f t="shared" si="12"/>
        <v>50.691904761904759</v>
      </c>
      <c r="D214">
        <f t="shared" si="14"/>
        <v>44.08</v>
      </c>
      <c r="E214">
        <f t="shared" si="15"/>
        <v>56.91</v>
      </c>
      <c r="H214" t="str">
        <f t="shared" si="13"/>
        <v>Positive slope</v>
      </c>
    </row>
    <row r="215" spans="1:8" x14ac:dyDescent="0.2">
      <c r="A215" s="20">
        <v>42065</v>
      </c>
      <c r="B215">
        <v>49.59</v>
      </c>
      <c r="C215">
        <f t="shared" si="12"/>
        <v>50.635714285714279</v>
      </c>
      <c r="D215">
        <f t="shared" si="14"/>
        <v>44.08</v>
      </c>
      <c r="E215">
        <f t="shared" si="15"/>
        <v>56.91</v>
      </c>
      <c r="H215" t="str">
        <f t="shared" si="13"/>
        <v>Positive slope</v>
      </c>
    </row>
    <row r="216" spans="1:8" x14ac:dyDescent="0.2">
      <c r="A216" s="20">
        <v>42062</v>
      </c>
      <c r="B216">
        <v>49.84</v>
      </c>
      <c r="C216">
        <f t="shared" si="12"/>
        <v>50.55</v>
      </c>
      <c r="D216">
        <f t="shared" si="14"/>
        <v>44.08</v>
      </c>
      <c r="E216">
        <f t="shared" si="15"/>
        <v>56.91</v>
      </c>
      <c r="H216" t="str">
        <f t="shared" si="13"/>
        <v>Positive slope</v>
      </c>
    </row>
    <row r="217" spans="1:8" x14ac:dyDescent="0.2">
      <c r="A217" s="20">
        <v>42061</v>
      </c>
      <c r="B217">
        <v>47.65</v>
      </c>
      <c r="C217">
        <f t="shared" si="12"/>
        <v>50.277619047619041</v>
      </c>
      <c r="D217">
        <f t="shared" si="14"/>
        <v>44.08</v>
      </c>
      <c r="E217">
        <f t="shared" si="15"/>
        <v>56.91</v>
      </c>
      <c r="H217" t="str">
        <f t="shared" si="13"/>
        <v>Positive slope</v>
      </c>
    </row>
    <row r="218" spans="1:8" x14ac:dyDescent="0.2">
      <c r="A218" s="20">
        <v>42060</v>
      </c>
      <c r="B218">
        <v>50.25</v>
      </c>
      <c r="C218">
        <f t="shared" si="12"/>
        <v>50.107619047619046</v>
      </c>
      <c r="D218">
        <f t="shared" si="14"/>
        <v>44.08</v>
      </c>
      <c r="E218">
        <f t="shared" si="15"/>
        <v>56.91</v>
      </c>
      <c r="H218" t="str">
        <f t="shared" si="13"/>
        <v>Positive slope</v>
      </c>
    </row>
    <row r="219" spans="1:8" x14ac:dyDescent="0.2">
      <c r="A219" s="20">
        <v>42059</v>
      </c>
      <c r="B219">
        <v>48.48</v>
      </c>
      <c r="C219">
        <f t="shared" si="12"/>
        <v>49.897619047619052</v>
      </c>
      <c r="D219">
        <f t="shared" si="14"/>
        <v>44.08</v>
      </c>
      <c r="E219">
        <f t="shared" si="15"/>
        <v>57.81</v>
      </c>
      <c r="H219" t="str">
        <f t="shared" si="13"/>
        <v>Positive slope</v>
      </c>
    </row>
    <row r="220" spans="1:8" x14ac:dyDescent="0.2">
      <c r="A220" s="20">
        <v>42058</v>
      </c>
      <c r="B220">
        <v>49.56</v>
      </c>
      <c r="C220">
        <f t="shared" si="12"/>
        <v>49.722380952380959</v>
      </c>
      <c r="D220">
        <f t="shared" si="14"/>
        <v>44.08</v>
      </c>
      <c r="E220">
        <f t="shared" si="15"/>
        <v>60.01</v>
      </c>
      <c r="H220" t="str">
        <f t="shared" si="13"/>
        <v>Positive slope</v>
      </c>
    </row>
    <row r="221" spans="1:8" x14ac:dyDescent="0.2">
      <c r="A221" s="20">
        <v>42055</v>
      </c>
      <c r="B221">
        <v>49.95</v>
      </c>
      <c r="C221">
        <f t="shared" si="12"/>
        <v>49.517619047619043</v>
      </c>
      <c r="D221">
        <f t="shared" si="14"/>
        <v>44.08</v>
      </c>
      <c r="E221">
        <f t="shared" si="15"/>
        <v>60.99</v>
      </c>
      <c r="H221" t="str">
        <f t="shared" si="13"/>
        <v>Positive slope</v>
      </c>
    </row>
    <row r="222" spans="1:8" x14ac:dyDescent="0.2">
      <c r="A222" s="20">
        <v>42054</v>
      </c>
      <c r="B222">
        <v>51.12</v>
      </c>
      <c r="C222">
        <f t="shared" si="12"/>
        <v>49.326190476190483</v>
      </c>
      <c r="D222">
        <f t="shared" si="14"/>
        <v>44.08</v>
      </c>
      <c r="E222">
        <f t="shared" si="15"/>
        <v>63.74</v>
      </c>
      <c r="H222" t="str">
        <f t="shared" si="13"/>
        <v>Positive slope</v>
      </c>
    </row>
    <row r="223" spans="1:8" x14ac:dyDescent="0.2">
      <c r="A223" s="20">
        <v>42053</v>
      </c>
      <c r="B223">
        <v>52.13</v>
      </c>
      <c r="C223">
        <f t="shared" si="12"/>
        <v>49.170476190476187</v>
      </c>
      <c r="D223">
        <f t="shared" si="14"/>
        <v>44.08</v>
      </c>
      <c r="E223">
        <f t="shared" si="15"/>
        <v>63.74</v>
      </c>
      <c r="H223" t="str">
        <f t="shared" si="13"/>
        <v>Positive slope</v>
      </c>
    </row>
    <row r="224" spans="1:8" x14ac:dyDescent="0.2">
      <c r="A224" s="20">
        <v>42052</v>
      </c>
      <c r="B224">
        <v>53.56</v>
      </c>
      <c r="C224">
        <f t="shared" si="12"/>
        <v>48.916190476190479</v>
      </c>
      <c r="D224">
        <f t="shared" si="14"/>
        <v>44.08</v>
      </c>
      <c r="E224">
        <f t="shared" si="15"/>
        <v>65.89</v>
      </c>
      <c r="H224" t="str">
        <f t="shared" si="13"/>
        <v>Positive slope</v>
      </c>
    </row>
    <row r="225" spans="1:8" x14ac:dyDescent="0.2">
      <c r="A225" s="20">
        <v>42051</v>
      </c>
      <c r="B225">
        <v>52.66</v>
      </c>
      <c r="C225">
        <f t="shared" si="12"/>
        <v>48.674761904761901</v>
      </c>
      <c r="D225">
        <f t="shared" si="14"/>
        <v>44.08</v>
      </c>
      <c r="E225">
        <f t="shared" si="15"/>
        <v>66.73</v>
      </c>
      <c r="H225" t="str">
        <f t="shared" si="13"/>
        <v>Positive slope</v>
      </c>
    </row>
    <row r="226" spans="1:8" x14ac:dyDescent="0.2">
      <c r="A226" s="20">
        <v>42048</v>
      </c>
      <c r="B226">
        <v>52.66</v>
      </c>
      <c r="C226">
        <f t="shared" si="12"/>
        <v>48.375238095238096</v>
      </c>
      <c r="D226">
        <f t="shared" si="14"/>
        <v>44.08</v>
      </c>
      <c r="E226">
        <f t="shared" si="15"/>
        <v>67.3</v>
      </c>
      <c r="H226" t="str">
        <f t="shared" si="13"/>
        <v>Positive slope</v>
      </c>
    </row>
    <row r="227" spans="1:8" x14ac:dyDescent="0.2">
      <c r="A227" s="20">
        <v>42047</v>
      </c>
      <c r="B227">
        <v>51.17</v>
      </c>
      <c r="C227">
        <f t="shared" si="12"/>
        <v>48.176666666666669</v>
      </c>
      <c r="D227">
        <f t="shared" si="14"/>
        <v>44.08</v>
      </c>
      <c r="E227">
        <f t="shared" si="15"/>
        <v>67.3</v>
      </c>
      <c r="H227" t="str">
        <f t="shared" si="13"/>
        <v>Positive slope</v>
      </c>
    </row>
    <row r="228" spans="1:8" x14ac:dyDescent="0.2">
      <c r="A228" s="20">
        <v>42046</v>
      </c>
      <c r="B228">
        <v>48.8</v>
      </c>
      <c r="C228">
        <f t="shared" si="12"/>
        <v>47.926666666666662</v>
      </c>
      <c r="D228">
        <f t="shared" si="14"/>
        <v>44.08</v>
      </c>
      <c r="E228">
        <f t="shared" si="15"/>
        <v>68.98</v>
      </c>
      <c r="H228" t="str">
        <f t="shared" si="13"/>
        <v>Positive slope</v>
      </c>
    </row>
    <row r="229" spans="1:8" x14ac:dyDescent="0.2">
      <c r="A229" s="20">
        <v>42045</v>
      </c>
      <c r="B229">
        <v>50.06</v>
      </c>
      <c r="C229">
        <f t="shared" si="12"/>
        <v>47.796190476190468</v>
      </c>
      <c r="D229">
        <f t="shared" si="14"/>
        <v>44.08</v>
      </c>
      <c r="E229">
        <f t="shared" si="15"/>
        <v>68.98</v>
      </c>
      <c r="H229" t="str">
        <f t="shared" si="13"/>
        <v>Positive slope</v>
      </c>
    </row>
    <row r="230" spans="1:8" x14ac:dyDescent="0.2">
      <c r="A230" s="20">
        <v>42044</v>
      </c>
      <c r="B230">
        <v>52.99</v>
      </c>
      <c r="C230">
        <f t="shared" si="12"/>
        <v>47.7147619047619</v>
      </c>
      <c r="D230">
        <f t="shared" si="14"/>
        <v>44.08</v>
      </c>
      <c r="E230">
        <f t="shared" si="15"/>
        <v>73.7</v>
      </c>
      <c r="H230" t="str">
        <f t="shared" si="13"/>
        <v>Positive slope</v>
      </c>
    </row>
    <row r="231" spans="1:8" x14ac:dyDescent="0.2">
      <c r="A231" s="20">
        <v>42041</v>
      </c>
      <c r="B231">
        <v>51.66</v>
      </c>
      <c r="C231">
        <f t="shared" si="12"/>
        <v>47.515238095238089</v>
      </c>
      <c r="D231">
        <f t="shared" si="14"/>
        <v>44.08</v>
      </c>
      <c r="E231">
        <f t="shared" si="15"/>
        <v>74.040000000000006</v>
      </c>
      <c r="H231" t="str">
        <f t="shared" si="13"/>
        <v>Positive slope</v>
      </c>
    </row>
    <row r="232" spans="1:8" x14ac:dyDescent="0.2">
      <c r="A232" s="20">
        <v>42040</v>
      </c>
      <c r="B232">
        <v>50.48</v>
      </c>
      <c r="C232">
        <f t="shared" si="12"/>
        <v>47.37380952380952</v>
      </c>
      <c r="D232">
        <f t="shared" si="14"/>
        <v>44.08</v>
      </c>
      <c r="E232">
        <f t="shared" si="15"/>
        <v>75.739999999999995</v>
      </c>
      <c r="H232" t="str">
        <f t="shared" si="13"/>
        <v>Positive slope</v>
      </c>
    </row>
    <row r="233" spans="1:8" x14ac:dyDescent="0.2">
      <c r="A233" s="20">
        <v>42039</v>
      </c>
      <c r="B233">
        <v>48.45</v>
      </c>
      <c r="C233">
        <f t="shared" si="12"/>
        <v>47.254761904761899</v>
      </c>
      <c r="D233">
        <f t="shared" si="14"/>
        <v>44.08</v>
      </c>
      <c r="E233">
        <f t="shared" si="15"/>
        <v>76.52</v>
      </c>
      <c r="H233" t="str">
        <f t="shared" si="13"/>
        <v>Negative slope</v>
      </c>
    </row>
    <row r="234" spans="1:8" x14ac:dyDescent="0.2">
      <c r="A234" s="20">
        <v>42038</v>
      </c>
      <c r="B234">
        <v>53.04</v>
      </c>
      <c r="C234">
        <f t="shared" si="12"/>
        <v>47.330952380952375</v>
      </c>
      <c r="D234">
        <f t="shared" si="14"/>
        <v>44.08</v>
      </c>
      <c r="E234">
        <f t="shared" si="15"/>
        <v>76.52</v>
      </c>
      <c r="H234" t="str">
        <f t="shared" si="13"/>
        <v>Positive slope</v>
      </c>
    </row>
    <row r="235" spans="1:8" x14ac:dyDescent="0.2">
      <c r="A235" s="20">
        <v>42037</v>
      </c>
      <c r="B235">
        <v>49.25</v>
      </c>
      <c r="C235">
        <f t="shared" si="12"/>
        <v>47.315714285714279</v>
      </c>
      <c r="D235">
        <f t="shared" si="14"/>
        <v>44.08</v>
      </c>
      <c r="E235">
        <f t="shared" si="15"/>
        <v>76.52</v>
      </c>
      <c r="H235" t="str">
        <f t="shared" si="13"/>
        <v>Negative slope</v>
      </c>
    </row>
    <row r="236" spans="1:8" x14ac:dyDescent="0.2">
      <c r="A236" s="20">
        <v>42034</v>
      </c>
      <c r="B236">
        <v>47.79</v>
      </c>
      <c r="C236">
        <f t="shared" si="12"/>
        <v>47.515714285714282</v>
      </c>
      <c r="D236">
        <f t="shared" si="14"/>
        <v>44.08</v>
      </c>
      <c r="E236">
        <f t="shared" si="15"/>
        <v>76.52</v>
      </c>
      <c r="H236" t="str">
        <f t="shared" si="13"/>
        <v>Negative slope</v>
      </c>
    </row>
    <row r="237" spans="1:8" x14ac:dyDescent="0.2">
      <c r="A237" s="20">
        <v>42033</v>
      </c>
      <c r="B237">
        <v>44.12</v>
      </c>
      <c r="C237">
        <f t="shared" si="12"/>
        <v>47.818095238095239</v>
      </c>
      <c r="D237">
        <f t="shared" si="14"/>
        <v>44.08</v>
      </c>
      <c r="E237">
        <f t="shared" si="15"/>
        <v>76.52</v>
      </c>
      <c r="H237" t="str">
        <f t="shared" si="13"/>
        <v>Negative slope</v>
      </c>
    </row>
    <row r="238" spans="1:8" x14ac:dyDescent="0.2">
      <c r="A238" s="20">
        <v>42032</v>
      </c>
      <c r="B238">
        <v>44.08</v>
      </c>
      <c r="C238">
        <f t="shared" si="12"/>
        <v>48.26285714285715</v>
      </c>
      <c r="D238">
        <f t="shared" si="14"/>
        <v>44.08</v>
      </c>
      <c r="E238">
        <f t="shared" si="15"/>
        <v>76.52</v>
      </c>
      <c r="H238" t="str">
        <f t="shared" si="13"/>
        <v>Negative slope</v>
      </c>
    </row>
    <row r="239" spans="1:8" x14ac:dyDescent="0.2">
      <c r="A239" s="20">
        <v>42031</v>
      </c>
      <c r="B239">
        <v>45.84</v>
      </c>
      <c r="C239">
        <f t="shared" si="12"/>
        <v>48.763333333333343</v>
      </c>
      <c r="D239">
        <f t="shared" si="14"/>
        <v>44.8</v>
      </c>
      <c r="E239">
        <f t="shared" si="15"/>
        <v>76.52</v>
      </c>
      <c r="H239" t="str">
        <f t="shared" si="13"/>
        <v>Negative slope</v>
      </c>
    </row>
    <row r="240" spans="1:8" x14ac:dyDescent="0.2">
      <c r="A240" s="20">
        <v>42030</v>
      </c>
      <c r="B240">
        <v>44.8</v>
      </c>
      <c r="C240">
        <f t="shared" si="12"/>
        <v>49.232857142857149</v>
      </c>
      <c r="D240">
        <f t="shared" si="14"/>
        <v>44.8</v>
      </c>
      <c r="E240">
        <f t="shared" si="15"/>
        <v>77.16</v>
      </c>
      <c r="H240" t="str">
        <f t="shared" si="13"/>
        <v>Negative slope</v>
      </c>
    </row>
    <row r="241" spans="1:8" x14ac:dyDescent="0.2">
      <c r="A241" s="20">
        <v>42027</v>
      </c>
      <c r="B241">
        <v>45.26</v>
      </c>
      <c r="C241">
        <f t="shared" si="12"/>
        <v>49.803333333333342</v>
      </c>
      <c r="D241">
        <f t="shared" si="14"/>
        <v>45.26</v>
      </c>
      <c r="E241">
        <f t="shared" si="15"/>
        <v>77.849999999999994</v>
      </c>
      <c r="H241" t="str">
        <f t="shared" si="13"/>
        <v>Negative slope</v>
      </c>
    </row>
    <row r="242" spans="1:8" x14ac:dyDescent="0.2">
      <c r="A242" s="20">
        <v>42026</v>
      </c>
      <c r="B242">
        <v>45.93</v>
      </c>
      <c r="C242">
        <f t="shared" si="12"/>
        <v>50.279047619047624</v>
      </c>
      <c r="D242">
        <f t="shared" si="14"/>
        <v>45.92</v>
      </c>
      <c r="E242">
        <f t="shared" si="15"/>
        <v>77.849999999999994</v>
      </c>
      <c r="H242" t="str">
        <f t="shared" si="13"/>
        <v>Negative slope</v>
      </c>
    </row>
    <row r="243" spans="1:8" x14ac:dyDescent="0.2">
      <c r="A243" s="20">
        <v>42025</v>
      </c>
      <c r="B243">
        <v>47.85</v>
      </c>
      <c r="C243">
        <f t="shared" si="12"/>
        <v>50.801904761904765</v>
      </c>
      <c r="D243">
        <f t="shared" si="14"/>
        <v>45.92</v>
      </c>
      <c r="E243">
        <f t="shared" si="15"/>
        <v>78.709999999999994</v>
      </c>
      <c r="H243" t="str">
        <f t="shared" si="13"/>
        <v>Negative slope</v>
      </c>
    </row>
    <row r="244" spans="1:8" x14ac:dyDescent="0.2">
      <c r="A244" s="20">
        <v>42024</v>
      </c>
      <c r="B244">
        <v>46.79</v>
      </c>
      <c r="C244">
        <f t="shared" si="12"/>
        <v>51.103333333333339</v>
      </c>
      <c r="D244">
        <f t="shared" si="14"/>
        <v>45.92</v>
      </c>
      <c r="E244">
        <f t="shared" si="15"/>
        <v>78.709999999999994</v>
      </c>
      <c r="H244" t="str">
        <f t="shared" si="13"/>
        <v>Negative slope</v>
      </c>
    </row>
    <row r="245" spans="1:8" x14ac:dyDescent="0.2">
      <c r="A245" s="20">
        <v>42020</v>
      </c>
      <c r="B245">
        <v>48.49</v>
      </c>
      <c r="C245">
        <f t="shared" si="12"/>
        <v>51.562380952380963</v>
      </c>
      <c r="D245">
        <f t="shared" si="14"/>
        <v>45.92</v>
      </c>
      <c r="E245">
        <f t="shared" si="15"/>
        <v>78.709999999999994</v>
      </c>
      <c r="H245" t="str">
        <f t="shared" si="13"/>
        <v>Negative slope</v>
      </c>
    </row>
    <row r="246" spans="1:8" x14ac:dyDescent="0.2">
      <c r="A246" s="20">
        <v>42019</v>
      </c>
      <c r="B246">
        <v>46.37</v>
      </c>
      <c r="C246">
        <f t="shared" si="12"/>
        <v>51.91857142857144</v>
      </c>
      <c r="D246">
        <f t="shared" si="14"/>
        <v>45.92</v>
      </c>
      <c r="E246">
        <f t="shared" si="15"/>
        <v>78.709999999999994</v>
      </c>
      <c r="H246" t="str">
        <f t="shared" si="13"/>
        <v>Negative slope</v>
      </c>
    </row>
    <row r="247" spans="1:8" x14ac:dyDescent="0.2">
      <c r="A247" s="20">
        <v>42018</v>
      </c>
      <c r="B247">
        <v>48.49</v>
      </c>
      <c r="C247">
        <f t="shared" si="12"/>
        <v>52.375238095238103</v>
      </c>
      <c r="D247">
        <f t="shared" si="14"/>
        <v>45.92</v>
      </c>
      <c r="E247">
        <f t="shared" si="15"/>
        <v>78.77</v>
      </c>
      <c r="H247" t="str">
        <f t="shared" si="13"/>
        <v>Negative slope</v>
      </c>
    </row>
    <row r="248" spans="1:8" x14ac:dyDescent="0.2">
      <c r="A248" s="20">
        <v>42017</v>
      </c>
      <c r="B248">
        <v>45.92</v>
      </c>
      <c r="C248">
        <f t="shared" si="12"/>
        <v>52.819047619047609</v>
      </c>
      <c r="D248">
        <f t="shared" si="14"/>
        <v>45.92</v>
      </c>
      <c r="E248">
        <f t="shared" si="15"/>
        <v>80.53</v>
      </c>
      <c r="H248" t="str">
        <f t="shared" si="13"/>
        <v>Negative slope</v>
      </c>
    </row>
    <row r="249" spans="1:8" x14ac:dyDescent="0.2">
      <c r="A249" s="20">
        <v>42016</v>
      </c>
      <c r="B249">
        <v>46.06</v>
      </c>
      <c r="C249">
        <f t="shared" si="12"/>
        <v>53.489999999999995</v>
      </c>
      <c r="D249">
        <f t="shared" si="14"/>
        <v>46.06</v>
      </c>
      <c r="E249">
        <f t="shared" si="15"/>
        <v>81.06</v>
      </c>
      <c r="H249" t="str">
        <f t="shared" si="13"/>
        <v>Negative slope</v>
      </c>
    </row>
    <row r="250" spans="1:8" x14ac:dyDescent="0.2">
      <c r="A250" s="20">
        <v>42013</v>
      </c>
      <c r="B250">
        <v>48.35</v>
      </c>
      <c r="C250">
        <f t="shared" si="12"/>
        <v>54.20095238095238</v>
      </c>
      <c r="D250">
        <f t="shared" si="14"/>
        <v>47.98</v>
      </c>
      <c r="E250">
        <f t="shared" si="15"/>
        <v>82.25</v>
      </c>
      <c r="H250" t="str">
        <f t="shared" si="13"/>
        <v>Negative slope</v>
      </c>
    </row>
    <row r="251" spans="1:8" x14ac:dyDescent="0.2">
      <c r="A251" s="20">
        <v>42012</v>
      </c>
      <c r="B251">
        <v>48.8</v>
      </c>
      <c r="C251">
        <f t="shared" si="12"/>
        <v>54.933809523809522</v>
      </c>
      <c r="D251">
        <f t="shared" si="14"/>
        <v>47.98</v>
      </c>
      <c r="E251">
        <f t="shared" si="15"/>
        <v>82.25</v>
      </c>
      <c r="H251" t="str">
        <f t="shared" si="13"/>
        <v>Negative slope</v>
      </c>
    </row>
    <row r="252" spans="1:8" x14ac:dyDescent="0.2">
      <c r="A252" s="20">
        <v>42011</v>
      </c>
      <c r="B252">
        <v>48.69</v>
      </c>
      <c r="C252">
        <f t="shared" si="12"/>
        <v>55.616190476190482</v>
      </c>
      <c r="D252">
        <f t="shared" si="14"/>
        <v>47.98</v>
      </c>
      <c r="E252">
        <f t="shared" si="15"/>
        <v>82.25</v>
      </c>
      <c r="H252" t="str">
        <f t="shared" si="13"/>
        <v>Negative slope</v>
      </c>
    </row>
    <row r="253" spans="1:8" x14ac:dyDescent="0.2">
      <c r="A253" s="20">
        <v>42010</v>
      </c>
      <c r="B253">
        <v>47.98</v>
      </c>
      <c r="C253">
        <f t="shared" si="12"/>
        <v>56.435238095238098</v>
      </c>
      <c r="D253">
        <f t="shared" si="14"/>
        <v>47.98</v>
      </c>
      <c r="E253">
        <f t="shared" si="15"/>
        <v>82.25</v>
      </c>
      <c r="H253" t="str">
        <f t="shared" si="13"/>
        <v>Negative slope</v>
      </c>
    </row>
    <row r="254" spans="1:8" x14ac:dyDescent="0.2">
      <c r="A254" s="20">
        <v>42009</v>
      </c>
      <c r="B254">
        <v>50.05</v>
      </c>
      <c r="C254">
        <f t="shared" si="12"/>
        <v>57.328095238095244</v>
      </c>
      <c r="D254">
        <f t="shared" si="14"/>
        <v>50.05</v>
      </c>
      <c r="E254">
        <f t="shared" si="15"/>
        <v>82.81</v>
      </c>
      <c r="H254" t="str">
        <f t="shared" si="13"/>
        <v>Negative slope</v>
      </c>
    </row>
    <row r="255" spans="1:8" x14ac:dyDescent="0.2">
      <c r="A255" s="20">
        <v>42006</v>
      </c>
      <c r="B255">
        <v>52.72</v>
      </c>
      <c r="C255">
        <f t="shared" si="12"/>
        <v>58.149523809523807</v>
      </c>
      <c r="D255">
        <f t="shared" si="14"/>
        <v>52.72</v>
      </c>
      <c r="E255">
        <f t="shared" si="15"/>
        <v>82.81</v>
      </c>
      <c r="H255" t="str">
        <f t="shared" si="13"/>
        <v>Negative slope</v>
      </c>
    </row>
    <row r="256" spans="1:8" x14ac:dyDescent="0.2">
      <c r="A256" s="20">
        <v>42004</v>
      </c>
      <c r="B256">
        <v>53.45</v>
      </c>
      <c r="C256">
        <f t="shared" si="12"/>
        <v>58.829047619047621</v>
      </c>
      <c r="D256">
        <f t="shared" si="14"/>
        <v>53.45</v>
      </c>
      <c r="E256">
        <f t="shared" si="15"/>
        <v>83.25</v>
      </c>
      <c r="H256" t="str">
        <f t="shared" si="13"/>
        <v>Negative slope</v>
      </c>
    </row>
    <row r="257" spans="1:8" x14ac:dyDescent="0.2">
      <c r="A257" s="20">
        <v>42003</v>
      </c>
      <c r="B257">
        <v>54.14</v>
      </c>
      <c r="C257">
        <f t="shared" si="12"/>
        <v>59.568571428571431</v>
      </c>
      <c r="D257">
        <f t="shared" si="14"/>
        <v>53.46</v>
      </c>
      <c r="E257">
        <f t="shared" si="15"/>
        <v>83.25</v>
      </c>
      <c r="H257" t="str">
        <f t="shared" si="13"/>
        <v>Negative slope</v>
      </c>
    </row>
    <row r="258" spans="1:8" x14ac:dyDescent="0.2">
      <c r="A258" s="20">
        <v>42002</v>
      </c>
      <c r="B258">
        <v>53.46</v>
      </c>
      <c r="C258">
        <f t="shared" ref="C258:C321" si="16">AVERAGE(B258:B278)</f>
        <v>60.130476190476188</v>
      </c>
      <c r="D258">
        <f t="shared" si="14"/>
        <v>53.46</v>
      </c>
      <c r="E258">
        <f t="shared" si="15"/>
        <v>83.25</v>
      </c>
      <c r="H258" t="str">
        <f t="shared" ref="H258:H321" si="17">IF((C258-C259)&gt;0, "Positive slope", "Negative slope")</f>
        <v>Negative slope</v>
      </c>
    </row>
    <row r="259" spans="1:8" x14ac:dyDescent="0.2">
      <c r="A259" s="20">
        <v>41999</v>
      </c>
      <c r="B259">
        <v>54.59</v>
      </c>
      <c r="C259">
        <f t="shared" si="16"/>
        <v>61.094285714285718</v>
      </c>
      <c r="D259">
        <f t="shared" ref="D259:D322" si="18">MIN(B259:B308)</f>
        <v>54.18</v>
      </c>
      <c r="E259">
        <f t="shared" ref="E259:E322" si="19">MAX(B259:B308)</f>
        <v>83.25</v>
      </c>
      <c r="H259" t="str">
        <f t="shared" si="17"/>
        <v>Negative slope</v>
      </c>
    </row>
    <row r="260" spans="1:8" x14ac:dyDescent="0.2">
      <c r="A260" s="20">
        <v>41997</v>
      </c>
      <c r="B260">
        <v>55.7</v>
      </c>
      <c r="C260">
        <f t="shared" si="16"/>
        <v>62.020476190476195</v>
      </c>
      <c r="D260">
        <f t="shared" si="18"/>
        <v>54.18</v>
      </c>
      <c r="E260">
        <f t="shared" si="19"/>
        <v>83.25</v>
      </c>
      <c r="H260" t="str">
        <f t="shared" si="17"/>
        <v>Negative slope</v>
      </c>
    </row>
    <row r="261" spans="1:8" x14ac:dyDescent="0.2">
      <c r="A261" s="20">
        <v>41996</v>
      </c>
      <c r="B261">
        <v>56.78</v>
      </c>
      <c r="C261">
        <f t="shared" si="16"/>
        <v>62.974761904761905</v>
      </c>
      <c r="D261">
        <f t="shared" si="18"/>
        <v>54.18</v>
      </c>
      <c r="E261">
        <f t="shared" si="19"/>
        <v>83.25</v>
      </c>
      <c r="H261" t="str">
        <f t="shared" si="17"/>
        <v>Negative slope</v>
      </c>
    </row>
    <row r="262" spans="1:8" x14ac:dyDescent="0.2">
      <c r="A262" s="20">
        <v>41995</v>
      </c>
      <c r="B262">
        <v>55.25</v>
      </c>
      <c r="C262">
        <f t="shared" si="16"/>
        <v>63.914761904761903</v>
      </c>
      <c r="D262">
        <f t="shared" si="18"/>
        <v>54.18</v>
      </c>
      <c r="E262">
        <f t="shared" si="19"/>
        <v>85.73</v>
      </c>
      <c r="H262" t="str">
        <f t="shared" si="17"/>
        <v>Negative slope</v>
      </c>
    </row>
    <row r="263" spans="1:8" x14ac:dyDescent="0.2">
      <c r="A263" s="20">
        <v>41992</v>
      </c>
      <c r="B263">
        <v>56.91</v>
      </c>
      <c r="C263">
        <f t="shared" si="16"/>
        <v>64.885238095238108</v>
      </c>
      <c r="D263">
        <f t="shared" si="18"/>
        <v>54.18</v>
      </c>
      <c r="E263">
        <f t="shared" si="19"/>
        <v>85.87</v>
      </c>
      <c r="H263" t="str">
        <f t="shared" si="17"/>
        <v>Negative slope</v>
      </c>
    </row>
    <row r="264" spans="1:8" x14ac:dyDescent="0.2">
      <c r="A264" s="20">
        <v>41991</v>
      </c>
      <c r="B264">
        <v>54.18</v>
      </c>
      <c r="C264">
        <f t="shared" si="16"/>
        <v>65.725238095238083</v>
      </c>
      <c r="D264">
        <f t="shared" si="18"/>
        <v>54.18</v>
      </c>
      <c r="E264">
        <f t="shared" si="19"/>
        <v>85.87</v>
      </c>
      <c r="H264" t="str">
        <f t="shared" si="17"/>
        <v>Negative slope</v>
      </c>
    </row>
    <row r="265" spans="1:8" x14ac:dyDescent="0.2">
      <c r="A265" s="20">
        <v>41990</v>
      </c>
      <c r="B265">
        <v>56.43</v>
      </c>
      <c r="C265">
        <f t="shared" si="16"/>
        <v>66.695238095238096</v>
      </c>
      <c r="D265">
        <f t="shared" si="18"/>
        <v>55.96</v>
      </c>
      <c r="E265">
        <f t="shared" si="19"/>
        <v>87.29</v>
      </c>
      <c r="H265" t="str">
        <f t="shared" si="17"/>
        <v>Negative slope</v>
      </c>
    </row>
    <row r="266" spans="1:8" x14ac:dyDescent="0.2">
      <c r="A266" s="20">
        <v>41989</v>
      </c>
      <c r="B266">
        <v>55.97</v>
      </c>
      <c r="C266">
        <f t="shared" si="16"/>
        <v>67.610000000000014</v>
      </c>
      <c r="D266">
        <f t="shared" si="18"/>
        <v>55.96</v>
      </c>
      <c r="E266">
        <f t="shared" si="19"/>
        <v>88.89</v>
      </c>
      <c r="H266" t="str">
        <f t="shared" si="17"/>
        <v>Negative slope</v>
      </c>
    </row>
    <row r="267" spans="1:8" x14ac:dyDescent="0.2">
      <c r="A267" s="20">
        <v>41988</v>
      </c>
      <c r="B267">
        <v>55.96</v>
      </c>
      <c r="C267">
        <f t="shared" si="16"/>
        <v>68.55952380952381</v>
      </c>
      <c r="D267">
        <f t="shared" si="18"/>
        <v>55.96</v>
      </c>
      <c r="E267">
        <f t="shared" si="19"/>
        <v>90.33</v>
      </c>
      <c r="H267" t="str">
        <f t="shared" si="17"/>
        <v>Negative slope</v>
      </c>
    </row>
    <row r="268" spans="1:8" x14ac:dyDescent="0.2">
      <c r="A268" s="20">
        <v>41985</v>
      </c>
      <c r="B268">
        <v>57.81</v>
      </c>
      <c r="C268">
        <f t="shared" si="16"/>
        <v>69.424761904761908</v>
      </c>
      <c r="D268">
        <f t="shared" si="18"/>
        <v>57.81</v>
      </c>
      <c r="E268">
        <f t="shared" si="19"/>
        <v>90.33</v>
      </c>
      <c r="H268" t="str">
        <f t="shared" si="17"/>
        <v>Negative slope</v>
      </c>
    </row>
    <row r="269" spans="1:8" x14ac:dyDescent="0.2">
      <c r="A269" s="20">
        <v>41984</v>
      </c>
      <c r="B269">
        <v>60.01</v>
      </c>
      <c r="C269">
        <f t="shared" si="16"/>
        <v>70.346190476190486</v>
      </c>
      <c r="D269">
        <f t="shared" si="18"/>
        <v>60.01</v>
      </c>
      <c r="E269">
        <f t="shared" si="19"/>
        <v>91.02</v>
      </c>
      <c r="H269" t="str">
        <f t="shared" si="17"/>
        <v>Negative slope</v>
      </c>
    </row>
    <row r="270" spans="1:8" x14ac:dyDescent="0.2">
      <c r="A270" s="20">
        <v>41983</v>
      </c>
      <c r="B270">
        <v>60.99</v>
      </c>
      <c r="C270">
        <f t="shared" si="16"/>
        <v>71.195714285714303</v>
      </c>
      <c r="D270">
        <f t="shared" si="18"/>
        <v>60.99</v>
      </c>
      <c r="E270">
        <f t="shared" si="19"/>
        <v>91.02</v>
      </c>
      <c r="H270" t="str">
        <f t="shared" si="17"/>
        <v>Negative slope</v>
      </c>
    </row>
    <row r="271" spans="1:8" x14ac:dyDescent="0.2">
      <c r="A271" s="20">
        <v>41982</v>
      </c>
      <c r="B271">
        <v>63.74</v>
      </c>
      <c r="C271">
        <f t="shared" si="16"/>
        <v>71.978571428571442</v>
      </c>
      <c r="D271">
        <f t="shared" si="18"/>
        <v>63.13</v>
      </c>
      <c r="E271">
        <f t="shared" si="19"/>
        <v>91.17</v>
      </c>
      <c r="H271" t="str">
        <f t="shared" si="17"/>
        <v>Negative slope</v>
      </c>
    </row>
    <row r="272" spans="1:8" x14ac:dyDescent="0.2">
      <c r="A272" s="20">
        <v>41981</v>
      </c>
      <c r="B272">
        <v>63.13</v>
      </c>
      <c r="C272">
        <f t="shared" si="16"/>
        <v>72.691428571428574</v>
      </c>
      <c r="D272">
        <f t="shared" si="18"/>
        <v>63.13</v>
      </c>
      <c r="E272">
        <f t="shared" si="19"/>
        <v>94.53</v>
      </c>
      <c r="H272" t="str">
        <f t="shared" si="17"/>
        <v>Negative slope</v>
      </c>
    </row>
    <row r="273" spans="1:8" x14ac:dyDescent="0.2">
      <c r="A273" s="20">
        <v>41978</v>
      </c>
      <c r="B273">
        <v>65.89</v>
      </c>
      <c r="C273">
        <f t="shared" si="16"/>
        <v>73.393333333333317</v>
      </c>
      <c r="D273">
        <f t="shared" si="18"/>
        <v>65.89</v>
      </c>
      <c r="E273">
        <f t="shared" si="19"/>
        <v>95.55</v>
      </c>
      <c r="H273" t="str">
        <f t="shared" si="17"/>
        <v>Negative slope</v>
      </c>
    </row>
    <row r="274" spans="1:8" x14ac:dyDescent="0.2">
      <c r="A274" s="20">
        <v>41977</v>
      </c>
      <c r="B274">
        <v>66.73</v>
      </c>
      <c r="C274">
        <f t="shared" si="16"/>
        <v>74.003809523809522</v>
      </c>
      <c r="D274">
        <f t="shared" si="18"/>
        <v>65.94</v>
      </c>
      <c r="E274">
        <f t="shared" si="19"/>
        <v>95.55</v>
      </c>
      <c r="H274" t="str">
        <f t="shared" si="17"/>
        <v>Negative slope</v>
      </c>
    </row>
    <row r="275" spans="1:8" x14ac:dyDescent="0.2">
      <c r="A275" s="20">
        <v>41976</v>
      </c>
      <c r="B275">
        <v>67.3</v>
      </c>
      <c r="C275">
        <f t="shared" si="16"/>
        <v>74.5</v>
      </c>
      <c r="D275">
        <f t="shared" si="18"/>
        <v>65.94</v>
      </c>
      <c r="E275">
        <f t="shared" si="19"/>
        <v>95.55</v>
      </c>
      <c r="H275" t="str">
        <f t="shared" si="17"/>
        <v>Negative slope</v>
      </c>
    </row>
    <row r="276" spans="1:8" x14ac:dyDescent="0.2">
      <c r="A276" s="20">
        <v>41975</v>
      </c>
      <c r="B276">
        <v>66.989999999999995</v>
      </c>
      <c r="C276">
        <f t="shared" si="16"/>
        <v>75.046190476190461</v>
      </c>
      <c r="D276">
        <f t="shared" si="18"/>
        <v>65.94</v>
      </c>
      <c r="E276">
        <f t="shared" si="19"/>
        <v>95.55</v>
      </c>
      <c r="H276" t="str">
        <f t="shared" si="17"/>
        <v>Negative slope</v>
      </c>
    </row>
    <row r="277" spans="1:8" x14ac:dyDescent="0.2">
      <c r="A277" s="20">
        <v>41974</v>
      </c>
      <c r="B277">
        <v>68.98</v>
      </c>
      <c r="C277">
        <f t="shared" si="16"/>
        <v>75.690952380952382</v>
      </c>
      <c r="D277">
        <f t="shared" si="18"/>
        <v>65.94</v>
      </c>
      <c r="E277">
        <f t="shared" si="19"/>
        <v>95.55</v>
      </c>
      <c r="H277" t="str">
        <f t="shared" si="17"/>
        <v>Negative slope</v>
      </c>
    </row>
    <row r="278" spans="1:8" x14ac:dyDescent="0.2">
      <c r="A278" s="20">
        <v>41971</v>
      </c>
      <c r="B278">
        <v>65.94</v>
      </c>
      <c r="C278">
        <f t="shared" si="16"/>
        <v>76.266190476190474</v>
      </c>
      <c r="D278">
        <f t="shared" si="18"/>
        <v>65.94</v>
      </c>
      <c r="E278">
        <f t="shared" si="19"/>
        <v>95.55</v>
      </c>
      <c r="H278" t="str">
        <f t="shared" si="17"/>
        <v>Negative slope</v>
      </c>
    </row>
    <row r="279" spans="1:8" x14ac:dyDescent="0.2">
      <c r="A279" s="20">
        <v>41969</v>
      </c>
      <c r="B279">
        <v>73.7</v>
      </c>
      <c r="C279">
        <f t="shared" si="16"/>
        <v>77.04285714285713</v>
      </c>
      <c r="D279">
        <f t="shared" si="18"/>
        <v>73.7</v>
      </c>
      <c r="E279">
        <f t="shared" si="19"/>
        <v>95.55</v>
      </c>
      <c r="H279" t="str">
        <f t="shared" si="17"/>
        <v>Negative slope</v>
      </c>
    </row>
    <row r="280" spans="1:8" x14ac:dyDescent="0.2">
      <c r="A280" s="20">
        <v>41968</v>
      </c>
      <c r="B280">
        <v>74.040000000000006</v>
      </c>
      <c r="C280">
        <f t="shared" si="16"/>
        <v>77.40761904761905</v>
      </c>
      <c r="D280">
        <f t="shared" si="18"/>
        <v>74.040000000000006</v>
      </c>
      <c r="E280">
        <f t="shared" si="19"/>
        <v>95.55</v>
      </c>
      <c r="H280" t="str">
        <f t="shared" si="17"/>
        <v>Negative slope</v>
      </c>
    </row>
    <row r="281" spans="1:8" x14ac:dyDescent="0.2">
      <c r="A281" s="20">
        <v>41967</v>
      </c>
      <c r="B281">
        <v>75.739999999999995</v>
      </c>
      <c r="C281">
        <f t="shared" si="16"/>
        <v>77.751428571428562</v>
      </c>
      <c r="D281">
        <f t="shared" si="18"/>
        <v>74.13</v>
      </c>
      <c r="E281">
        <f t="shared" si="19"/>
        <v>95.55</v>
      </c>
      <c r="H281" t="str">
        <f t="shared" si="17"/>
        <v>Negative slope</v>
      </c>
    </row>
    <row r="282" spans="1:8" x14ac:dyDescent="0.2">
      <c r="A282" s="20">
        <v>41964</v>
      </c>
      <c r="B282">
        <v>76.52</v>
      </c>
      <c r="C282">
        <f t="shared" si="16"/>
        <v>78.014761904761897</v>
      </c>
      <c r="D282">
        <f t="shared" si="18"/>
        <v>74.13</v>
      </c>
      <c r="E282">
        <f t="shared" si="19"/>
        <v>95.55</v>
      </c>
      <c r="H282" t="str">
        <f t="shared" si="17"/>
        <v>Negative slope</v>
      </c>
    </row>
    <row r="283" spans="1:8" x14ac:dyDescent="0.2">
      <c r="A283" s="20">
        <v>41963</v>
      </c>
      <c r="B283">
        <v>75.63</v>
      </c>
      <c r="C283">
        <f t="shared" si="16"/>
        <v>78.314285714285703</v>
      </c>
      <c r="D283">
        <f t="shared" si="18"/>
        <v>74.13</v>
      </c>
      <c r="E283">
        <f t="shared" si="19"/>
        <v>95.55</v>
      </c>
      <c r="H283" t="str">
        <f t="shared" si="17"/>
        <v>Negative slope</v>
      </c>
    </row>
    <row r="284" spans="1:8" x14ac:dyDescent="0.2">
      <c r="A284" s="20">
        <v>41962</v>
      </c>
      <c r="B284">
        <v>74.55</v>
      </c>
      <c r="C284">
        <f t="shared" si="16"/>
        <v>78.547142857142845</v>
      </c>
      <c r="D284">
        <f t="shared" si="18"/>
        <v>74.13</v>
      </c>
      <c r="E284">
        <f t="shared" si="19"/>
        <v>95.55</v>
      </c>
      <c r="H284" t="str">
        <f t="shared" si="17"/>
        <v>Negative slope</v>
      </c>
    </row>
    <row r="285" spans="1:8" x14ac:dyDescent="0.2">
      <c r="A285" s="20">
        <v>41961</v>
      </c>
      <c r="B285">
        <v>74.55</v>
      </c>
      <c r="C285">
        <f t="shared" si="16"/>
        <v>78.96142857142857</v>
      </c>
      <c r="D285">
        <f t="shared" si="18"/>
        <v>74.13</v>
      </c>
      <c r="E285">
        <f t="shared" si="19"/>
        <v>95.55</v>
      </c>
      <c r="H285" t="str">
        <f t="shared" si="17"/>
        <v>Negative slope</v>
      </c>
    </row>
    <row r="286" spans="1:8" x14ac:dyDescent="0.2">
      <c r="A286" s="20">
        <v>41960</v>
      </c>
      <c r="B286">
        <v>75.64</v>
      </c>
      <c r="C286">
        <f t="shared" si="16"/>
        <v>79.35238095238094</v>
      </c>
      <c r="D286">
        <f t="shared" si="18"/>
        <v>74.13</v>
      </c>
      <c r="E286">
        <f t="shared" si="19"/>
        <v>95.55</v>
      </c>
      <c r="H286" t="str">
        <f t="shared" si="17"/>
        <v>Negative slope</v>
      </c>
    </row>
    <row r="287" spans="1:8" x14ac:dyDescent="0.2">
      <c r="A287" s="20">
        <v>41957</v>
      </c>
      <c r="B287">
        <v>75.91</v>
      </c>
      <c r="C287">
        <f t="shared" si="16"/>
        <v>79.693333333333314</v>
      </c>
      <c r="D287">
        <f t="shared" si="18"/>
        <v>74.13</v>
      </c>
      <c r="E287">
        <f t="shared" si="19"/>
        <v>95.55</v>
      </c>
      <c r="H287" t="str">
        <f t="shared" si="17"/>
        <v>Negative slope</v>
      </c>
    </row>
    <row r="288" spans="1:8" x14ac:dyDescent="0.2">
      <c r="A288" s="20">
        <v>41956</v>
      </c>
      <c r="B288">
        <v>74.13</v>
      </c>
      <c r="C288">
        <f t="shared" si="16"/>
        <v>79.999047619047616</v>
      </c>
      <c r="D288">
        <f t="shared" si="18"/>
        <v>74.13</v>
      </c>
      <c r="E288">
        <f t="shared" si="19"/>
        <v>95.55</v>
      </c>
      <c r="H288" t="str">
        <f t="shared" si="17"/>
        <v>Negative slope</v>
      </c>
    </row>
    <row r="289" spans="1:9" x14ac:dyDescent="0.2">
      <c r="A289" s="20">
        <v>41955</v>
      </c>
      <c r="B289">
        <v>77.16</v>
      </c>
      <c r="C289">
        <f t="shared" si="16"/>
        <v>80.365238095238084</v>
      </c>
      <c r="D289">
        <f t="shared" si="18"/>
        <v>77.150000000000006</v>
      </c>
      <c r="E289">
        <f t="shared" si="19"/>
        <v>95.55</v>
      </c>
      <c r="H289" t="str">
        <f t="shared" si="17"/>
        <v>Negative slope</v>
      </c>
    </row>
    <row r="290" spans="1:9" x14ac:dyDescent="0.2">
      <c r="A290" s="20">
        <v>41954</v>
      </c>
      <c r="B290">
        <v>77.849999999999994</v>
      </c>
      <c r="C290">
        <f t="shared" si="16"/>
        <v>80.582380952380944</v>
      </c>
      <c r="D290">
        <f t="shared" si="18"/>
        <v>77.150000000000006</v>
      </c>
      <c r="E290">
        <f t="shared" si="19"/>
        <v>95.55</v>
      </c>
      <c r="H290" t="str">
        <f t="shared" si="17"/>
        <v>Negative slope</v>
      </c>
    </row>
    <row r="291" spans="1:9" x14ac:dyDescent="0.2">
      <c r="A291" s="20">
        <v>41953</v>
      </c>
      <c r="B291">
        <v>77.430000000000007</v>
      </c>
      <c r="C291">
        <f t="shared" si="16"/>
        <v>80.957619047619048</v>
      </c>
      <c r="D291">
        <f t="shared" si="18"/>
        <v>77.150000000000006</v>
      </c>
      <c r="E291">
        <f t="shared" si="19"/>
        <v>95.55</v>
      </c>
      <c r="H291" t="str">
        <f t="shared" si="17"/>
        <v>Negative slope</v>
      </c>
    </row>
    <row r="292" spans="1:9" x14ac:dyDescent="0.2">
      <c r="A292" s="20">
        <v>41950</v>
      </c>
      <c r="B292">
        <v>78.709999999999994</v>
      </c>
      <c r="C292">
        <f t="shared" si="16"/>
        <v>81.359523809523793</v>
      </c>
      <c r="D292">
        <f t="shared" si="18"/>
        <v>77.150000000000006</v>
      </c>
      <c r="E292">
        <f t="shared" si="19"/>
        <v>97.86</v>
      </c>
      <c r="H292" t="str">
        <f t="shared" si="17"/>
        <v>Negative slope</v>
      </c>
    </row>
    <row r="293" spans="1:9" x14ac:dyDescent="0.2">
      <c r="A293" s="20">
        <v>41949</v>
      </c>
      <c r="B293">
        <v>77.87</v>
      </c>
      <c r="C293">
        <f t="shared" si="16"/>
        <v>81.695238095238082</v>
      </c>
      <c r="D293">
        <f t="shared" si="18"/>
        <v>77.150000000000006</v>
      </c>
      <c r="E293">
        <f t="shared" si="19"/>
        <v>97.86</v>
      </c>
      <c r="H293" t="str">
        <f t="shared" si="17"/>
        <v>Negative slope</v>
      </c>
    </row>
    <row r="294" spans="1:9" x14ac:dyDescent="0.2">
      <c r="A294" s="20">
        <v>41948</v>
      </c>
      <c r="B294">
        <v>78.709999999999994</v>
      </c>
      <c r="C294">
        <f t="shared" si="16"/>
        <v>82.143809523809509</v>
      </c>
      <c r="D294">
        <f t="shared" si="18"/>
        <v>77.150000000000006</v>
      </c>
      <c r="E294">
        <f t="shared" si="19"/>
        <v>97.86</v>
      </c>
      <c r="H294" t="str">
        <f t="shared" si="17"/>
        <v>Negative slope</v>
      </c>
    </row>
    <row r="295" spans="1:9" x14ac:dyDescent="0.2">
      <c r="A295" s="20">
        <v>41947</v>
      </c>
      <c r="B295">
        <v>77.150000000000006</v>
      </c>
      <c r="C295">
        <f t="shared" si="16"/>
        <v>82.628571428571419</v>
      </c>
      <c r="D295">
        <f t="shared" si="18"/>
        <v>77.150000000000006</v>
      </c>
      <c r="E295">
        <f t="shared" si="19"/>
        <v>97.86</v>
      </c>
      <c r="H295" t="str">
        <f t="shared" si="17"/>
        <v>Negative slope</v>
      </c>
    </row>
    <row r="296" spans="1:9" x14ac:dyDescent="0.2">
      <c r="A296" s="20">
        <v>41946</v>
      </c>
      <c r="B296">
        <v>78.77</v>
      </c>
      <c r="C296">
        <f t="shared" si="16"/>
        <v>83.256190476190454</v>
      </c>
      <c r="D296">
        <f t="shared" si="18"/>
        <v>78.77</v>
      </c>
      <c r="E296">
        <f t="shared" si="19"/>
        <v>97.86</v>
      </c>
      <c r="H296" t="str">
        <f t="shared" si="17"/>
        <v>Negative slope</v>
      </c>
    </row>
    <row r="297" spans="1:9" x14ac:dyDescent="0.2">
      <c r="A297" s="20">
        <v>41943</v>
      </c>
      <c r="B297">
        <v>80.53</v>
      </c>
      <c r="C297">
        <f t="shared" si="16"/>
        <v>83.779523809523809</v>
      </c>
      <c r="D297">
        <f t="shared" si="18"/>
        <v>80.52</v>
      </c>
      <c r="E297">
        <f t="shared" si="19"/>
        <v>97.86</v>
      </c>
      <c r="H297" t="str">
        <f t="shared" si="17"/>
        <v>Negative slope</v>
      </c>
    </row>
    <row r="298" spans="1:9" x14ac:dyDescent="0.2">
      <c r="A298" s="20">
        <v>41942</v>
      </c>
      <c r="B298">
        <v>81.06</v>
      </c>
      <c r="C298">
        <f t="shared" si="16"/>
        <v>84.279047619047617</v>
      </c>
      <c r="D298">
        <f t="shared" si="18"/>
        <v>80.52</v>
      </c>
      <c r="E298">
        <f t="shared" si="19"/>
        <v>97.86</v>
      </c>
      <c r="H298" t="str">
        <f t="shared" si="17"/>
        <v>Negative slope</v>
      </c>
    </row>
    <row r="299" spans="1:9" x14ac:dyDescent="0.2">
      <c r="A299" s="20">
        <v>41941</v>
      </c>
      <c r="B299">
        <v>82.25</v>
      </c>
      <c r="C299">
        <f t="shared" si="16"/>
        <v>84.74</v>
      </c>
      <c r="D299">
        <f t="shared" si="18"/>
        <v>80.52</v>
      </c>
      <c r="E299">
        <f t="shared" si="19"/>
        <v>97.86</v>
      </c>
      <c r="H299" t="str">
        <f t="shared" si="17"/>
        <v>Negative slope</v>
      </c>
    </row>
    <row r="300" spans="1:9" x14ac:dyDescent="0.2">
      <c r="A300" s="20">
        <v>41940</v>
      </c>
      <c r="B300">
        <v>81.36</v>
      </c>
      <c r="C300">
        <f t="shared" si="16"/>
        <v>85.164761904761903</v>
      </c>
      <c r="D300">
        <f t="shared" si="18"/>
        <v>80.52</v>
      </c>
      <c r="E300">
        <f t="shared" si="19"/>
        <v>97.86</v>
      </c>
      <c r="H300" t="str">
        <f t="shared" si="17"/>
        <v>Negative slope</v>
      </c>
    </row>
    <row r="301" spans="1:9" x14ac:dyDescent="0.2">
      <c r="A301" s="20">
        <v>41939</v>
      </c>
      <c r="B301">
        <v>81.260000000000005</v>
      </c>
      <c r="C301">
        <f t="shared" si="16"/>
        <v>85.79190476190476</v>
      </c>
      <c r="D301">
        <f t="shared" si="18"/>
        <v>80.52</v>
      </c>
      <c r="E301">
        <f t="shared" si="19"/>
        <v>97.86</v>
      </c>
      <c r="H301" t="str">
        <f t="shared" si="17"/>
        <v>Negative slope</v>
      </c>
    </row>
    <row r="302" spans="1:9" x14ac:dyDescent="0.2">
      <c r="A302" s="20">
        <v>41936</v>
      </c>
      <c r="B302">
        <v>81.27</v>
      </c>
      <c r="C302">
        <f t="shared" si="16"/>
        <v>86.472380952380959</v>
      </c>
      <c r="D302">
        <f t="shared" si="18"/>
        <v>80.52</v>
      </c>
      <c r="E302">
        <f t="shared" si="19"/>
        <v>97.86</v>
      </c>
      <c r="H302" t="str">
        <f t="shared" si="17"/>
        <v>Negative slope</v>
      </c>
    </row>
    <row r="303" spans="1:9" x14ac:dyDescent="0.2">
      <c r="A303" s="20">
        <v>41935</v>
      </c>
      <c r="B303">
        <v>82.81</v>
      </c>
      <c r="C303">
        <f t="shared" si="16"/>
        <v>87.059047619047604</v>
      </c>
      <c r="D303">
        <f t="shared" si="18"/>
        <v>80.52</v>
      </c>
      <c r="E303">
        <f t="shared" si="19"/>
        <v>97.86</v>
      </c>
      <c r="H303" t="str">
        <f t="shared" si="17"/>
        <v>Negative slope</v>
      </c>
    </row>
    <row r="304" spans="1:9" x14ac:dyDescent="0.2">
      <c r="A304" s="20">
        <v>41934</v>
      </c>
      <c r="B304">
        <v>80.52</v>
      </c>
      <c r="C304">
        <f t="shared" si="16"/>
        <v>87.572857142857131</v>
      </c>
      <c r="D304">
        <f t="shared" si="18"/>
        <v>80.52</v>
      </c>
      <c r="E304">
        <f t="shared" si="19"/>
        <v>97.86</v>
      </c>
      <c r="H304" t="str">
        <f t="shared" si="17"/>
        <v>Negative slope</v>
      </c>
      <c r="I304" s="21"/>
    </row>
    <row r="305" spans="1:8" x14ac:dyDescent="0.2">
      <c r="A305" s="20">
        <v>41933</v>
      </c>
      <c r="B305">
        <v>83.25</v>
      </c>
      <c r="C305">
        <f t="shared" si="16"/>
        <v>88.098095238095226</v>
      </c>
      <c r="D305">
        <f t="shared" si="18"/>
        <v>81.72</v>
      </c>
      <c r="E305">
        <f t="shared" si="19"/>
        <v>97.86</v>
      </c>
      <c r="H305" t="str">
        <f t="shared" si="17"/>
        <v>Negative slope</v>
      </c>
    </row>
    <row r="306" spans="1:8" x14ac:dyDescent="0.2">
      <c r="A306" s="20">
        <v>41932</v>
      </c>
      <c r="B306">
        <v>82.76</v>
      </c>
      <c r="C306">
        <f t="shared" si="16"/>
        <v>88.489047619047611</v>
      </c>
      <c r="D306">
        <f t="shared" si="18"/>
        <v>81.72</v>
      </c>
      <c r="E306">
        <f t="shared" si="19"/>
        <v>98.09</v>
      </c>
      <c r="H306" t="str">
        <f t="shared" si="17"/>
        <v>Negative slope</v>
      </c>
    </row>
    <row r="307" spans="1:8" x14ac:dyDescent="0.2">
      <c r="A307" s="20">
        <v>41929</v>
      </c>
      <c r="B307">
        <v>82.8</v>
      </c>
      <c r="C307">
        <f t="shared" si="16"/>
        <v>88.949523809523797</v>
      </c>
      <c r="D307">
        <f t="shared" si="18"/>
        <v>81.72</v>
      </c>
      <c r="E307">
        <f t="shared" si="19"/>
        <v>98.09</v>
      </c>
      <c r="H307" t="str">
        <f t="shared" si="17"/>
        <v>Negative slope</v>
      </c>
    </row>
    <row r="308" spans="1:8" x14ac:dyDescent="0.2">
      <c r="A308" s="20">
        <v>41928</v>
      </c>
      <c r="B308">
        <v>82.33</v>
      </c>
      <c r="C308">
        <f t="shared" si="16"/>
        <v>89.438571428571422</v>
      </c>
      <c r="D308">
        <f t="shared" si="18"/>
        <v>81.72</v>
      </c>
      <c r="E308">
        <f t="shared" si="19"/>
        <v>98.09</v>
      </c>
      <c r="H308" t="str">
        <f t="shared" si="17"/>
        <v>Negative slope</v>
      </c>
    </row>
    <row r="309" spans="1:8" x14ac:dyDescent="0.2">
      <c r="A309" s="20">
        <v>41927</v>
      </c>
      <c r="B309">
        <v>81.819999999999993</v>
      </c>
      <c r="C309">
        <f t="shared" si="16"/>
        <v>90.009999999999991</v>
      </c>
      <c r="D309">
        <f t="shared" si="18"/>
        <v>81.72</v>
      </c>
      <c r="E309">
        <f t="shared" si="19"/>
        <v>98.09</v>
      </c>
      <c r="H309" t="str">
        <f t="shared" si="17"/>
        <v>Negative slope</v>
      </c>
    </row>
    <row r="310" spans="1:8" x14ac:dyDescent="0.2">
      <c r="A310" s="20">
        <v>41926</v>
      </c>
      <c r="B310">
        <v>81.72</v>
      </c>
      <c r="C310">
        <f t="shared" si="16"/>
        <v>90.633333333333326</v>
      </c>
      <c r="D310">
        <f t="shared" si="18"/>
        <v>81.72</v>
      </c>
      <c r="E310">
        <f t="shared" si="19"/>
        <v>98.09</v>
      </c>
      <c r="H310" t="str">
        <f t="shared" si="17"/>
        <v>Negative slope</v>
      </c>
    </row>
    <row r="311" spans="1:8" x14ac:dyDescent="0.2">
      <c r="A311" s="20">
        <v>41925</v>
      </c>
      <c r="B311">
        <v>85.73</v>
      </c>
      <c r="C311">
        <f t="shared" si="16"/>
        <v>91.163809523809505</v>
      </c>
      <c r="D311">
        <f t="shared" si="18"/>
        <v>85.73</v>
      </c>
      <c r="E311">
        <f t="shared" si="19"/>
        <v>98.26</v>
      </c>
      <c r="H311" t="str">
        <f t="shared" si="17"/>
        <v>Negative slope</v>
      </c>
    </row>
    <row r="312" spans="1:8" x14ac:dyDescent="0.2">
      <c r="A312" s="20">
        <v>41922</v>
      </c>
      <c r="B312">
        <v>85.87</v>
      </c>
      <c r="C312">
        <f t="shared" si="16"/>
        <v>91.470952380952369</v>
      </c>
      <c r="D312">
        <f t="shared" si="18"/>
        <v>85.76</v>
      </c>
      <c r="E312">
        <f t="shared" si="19"/>
        <v>98.26</v>
      </c>
      <c r="H312" t="str">
        <f t="shared" si="17"/>
        <v>Negative slope</v>
      </c>
    </row>
    <row r="313" spans="1:8" x14ac:dyDescent="0.2">
      <c r="A313" s="20">
        <v>41921</v>
      </c>
      <c r="B313">
        <v>85.76</v>
      </c>
      <c r="C313">
        <f t="shared" si="16"/>
        <v>91.805238095238082</v>
      </c>
      <c r="D313">
        <f t="shared" si="18"/>
        <v>85.76</v>
      </c>
      <c r="E313">
        <f t="shared" si="19"/>
        <v>98.26</v>
      </c>
      <c r="H313" t="str">
        <f t="shared" si="17"/>
        <v>Negative slope</v>
      </c>
    </row>
    <row r="314" spans="1:8" x14ac:dyDescent="0.2">
      <c r="A314" s="20">
        <v>41920</v>
      </c>
      <c r="B314">
        <v>87.29</v>
      </c>
      <c r="C314">
        <f t="shared" si="16"/>
        <v>92.088571428571441</v>
      </c>
      <c r="D314">
        <f t="shared" si="18"/>
        <v>87.29</v>
      </c>
      <c r="E314">
        <f t="shared" si="19"/>
        <v>104.29</v>
      </c>
      <c r="H314" t="str">
        <f t="shared" si="17"/>
        <v>Negative slope</v>
      </c>
    </row>
    <row r="315" spans="1:8" x14ac:dyDescent="0.2">
      <c r="A315" s="20">
        <v>41919</v>
      </c>
      <c r="B315">
        <v>88.89</v>
      </c>
      <c r="C315">
        <f t="shared" si="16"/>
        <v>92.347619047619048</v>
      </c>
      <c r="D315">
        <f t="shared" si="18"/>
        <v>88.89</v>
      </c>
      <c r="E315">
        <f t="shared" si="19"/>
        <v>104.91</v>
      </c>
      <c r="H315" t="str">
        <f t="shared" si="17"/>
        <v>Negative slope</v>
      </c>
    </row>
    <row r="316" spans="1:8" x14ac:dyDescent="0.2">
      <c r="A316" s="20">
        <v>41918</v>
      </c>
      <c r="B316">
        <v>90.33</v>
      </c>
      <c r="C316">
        <f t="shared" si="16"/>
        <v>92.526190476190479</v>
      </c>
      <c r="D316">
        <f t="shared" si="18"/>
        <v>89.76</v>
      </c>
      <c r="E316">
        <f t="shared" si="19"/>
        <v>105.68</v>
      </c>
      <c r="H316" t="str">
        <f t="shared" si="17"/>
        <v>Negative slope</v>
      </c>
    </row>
    <row r="317" spans="1:8" x14ac:dyDescent="0.2">
      <c r="A317" s="20">
        <v>41915</v>
      </c>
      <c r="B317">
        <v>89.76</v>
      </c>
      <c r="C317">
        <f t="shared" si="16"/>
        <v>92.66857142857144</v>
      </c>
      <c r="D317">
        <f t="shared" si="18"/>
        <v>89.76</v>
      </c>
      <c r="E317">
        <f t="shared" si="19"/>
        <v>105.68</v>
      </c>
      <c r="H317" t="str">
        <f t="shared" si="17"/>
        <v>Negative slope</v>
      </c>
    </row>
    <row r="318" spans="1:8" x14ac:dyDescent="0.2">
      <c r="A318" s="20">
        <v>41914</v>
      </c>
      <c r="B318">
        <v>91.02</v>
      </c>
      <c r="C318">
        <f t="shared" si="16"/>
        <v>92.894761904761907</v>
      </c>
      <c r="D318">
        <f t="shared" si="18"/>
        <v>90.74</v>
      </c>
      <c r="E318">
        <f t="shared" si="19"/>
        <v>105.68</v>
      </c>
      <c r="H318" t="str">
        <f t="shared" si="17"/>
        <v>Negative slope</v>
      </c>
    </row>
    <row r="319" spans="1:8" x14ac:dyDescent="0.2">
      <c r="A319" s="20">
        <v>41913</v>
      </c>
      <c r="B319">
        <v>90.74</v>
      </c>
      <c r="C319">
        <f t="shared" si="16"/>
        <v>93.108095238095245</v>
      </c>
      <c r="D319">
        <f t="shared" si="18"/>
        <v>90.74</v>
      </c>
      <c r="E319">
        <f t="shared" si="19"/>
        <v>105.68</v>
      </c>
      <c r="H319" t="str">
        <f t="shared" si="17"/>
        <v>Negative slope</v>
      </c>
    </row>
    <row r="320" spans="1:8" x14ac:dyDescent="0.2">
      <c r="A320" s="20">
        <v>41912</v>
      </c>
      <c r="B320">
        <v>91.17</v>
      </c>
      <c r="C320">
        <f t="shared" si="16"/>
        <v>93.211904761904776</v>
      </c>
      <c r="D320">
        <f t="shared" si="18"/>
        <v>91.17</v>
      </c>
      <c r="E320">
        <f t="shared" si="19"/>
        <v>105.68</v>
      </c>
      <c r="H320" t="str">
        <f t="shared" si="17"/>
        <v>Negative slope</v>
      </c>
    </row>
    <row r="321" spans="1:8" x14ac:dyDescent="0.2">
      <c r="A321" s="20">
        <v>41911</v>
      </c>
      <c r="B321">
        <v>94.53</v>
      </c>
      <c r="C321">
        <f t="shared" si="16"/>
        <v>93.530476190476193</v>
      </c>
      <c r="D321">
        <f t="shared" si="18"/>
        <v>91.46</v>
      </c>
      <c r="E321">
        <f t="shared" si="19"/>
        <v>105.68</v>
      </c>
      <c r="H321" t="str">
        <f t="shared" si="17"/>
        <v>Negative slope</v>
      </c>
    </row>
    <row r="322" spans="1:8" x14ac:dyDescent="0.2">
      <c r="A322" s="20">
        <v>41908</v>
      </c>
      <c r="B322">
        <v>95.55</v>
      </c>
      <c r="C322">
        <f t="shared" ref="C322:C385" si="20">AVERAGE(B322:B342)</f>
        <v>93.621428571428581</v>
      </c>
      <c r="D322">
        <f t="shared" si="18"/>
        <v>91.46</v>
      </c>
      <c r="E322">
        <f t="shared" si="19"/>
        <v>105.68</v>
      </c>
      <c r="H322" t="str">
        <f t="shared" ref="H322:H385" si="21">IF((C322-C323)&gt;0, "Positive slope", "Negative slope")</f>
        <v>Negative slope</v>
      </c>
    </row>
    <row r="323" spans="1:8" x14ac:dyDescent="0.2">
      <c r="A323" s="20">
        <v>41907</v>
      </c>
      <c r="B323">
        <v>93.59</v>
      </c>
      <c r="C323">
        <f t="shared" si="20"/>
        <v>93.63428571428571</v>
      </c>
      <c r="D323">
        <f t="shared" ref="D323:D386" si="22">MIN(B323:B372)</f>
        <v>91.46</v>
      </c>
      <c r="E323">
        <f t="shared" ref="E323:E386" si="23">MAX(B323:B372)</f>
        <v>105.68</v>
      </c>
      <c r="H323" t="str">
        <f t="shared" si="21"/>
        <v>Negative slope</v>
      </c>
    </row>
    <row r="324" spans="1:8" x14ac:dyDescent="0.2">
      <c r="A324" s="20">
        <v>41906</v>
      </c>
      <c r="B324">
        <v>93.6</v>
      </c>
      <c r="C324">
        <f t="shared" si="20"/>
        <v>93.738571428571419</v>
      </c>
      <c r="D324">
        <f t="shared" si="22"/>
        <v>91.46</v>
      </c>
      <c r="E324">
        <f t="shared" si="23"/>
        <v>105.68</v>
      </c>
      <c r="H324" t="str">
        <f t="shared" si="21"/>
        <v>Negative slope</v>
      </c>
    </row>
    <row r="325" spans="1:8" x14ac:dyDescent="0.2">
      <c r="A325" s="20">
        <v>41905</v>
      </c>
      <c r="B325">
        <v>91.55</v>
      </c>
      <c r="C325">
        <f t="shared" si="20"/>
        <v>93.823809523809516</v>
      </c>
      <c r="D325">
        <f t="shared" si="22"/>
        <v>91.46</v>
      </c>
      <c r="E325">
        <f t="shared" si="23"/>
        <v>105.68</v>
      </c>
      <c r="H325" t="str">
        <f t="shared" si="21"/>
        <v>Negative slope</v>
      </c>
    </row>
    <row r="326" spans="1:8" x14ac:dyDescent="0.2">
      <c r="A326" s="20">
        <v>41904</v>
      </c>
      <c r="B326">
        <v>91.46</v>
      </c>
      <c r="C326">
        <f t="shared" si="20"/>
        <v>93.921904761904756</v>
      </c>
      <c r="D326">
        <f t="shared" si="22"/>
        <v>91.46</v>
      </c>
      <c r="E326">
        <f t="shared" si="23"/>
        <v>105.68</v>
      </c>
      <c r="H326" t="str">
        <f t="shared" si="21"/>
        <v>Negative slope</v>
      </c>
    </row>
    <row r="327" spans="1:8" x14ac:dyDescent="0.2">
      <c r="A327" s="20">
        <v>41901</v>
      </c>
      <c r="B327">
        <v>92.43</v>
      </c>
      <c r="C327">
        <f t="shared" si="20"/>
        <v>94.041428571428568</v>
      </c>
      <c r="D327">
        <f t="shared" si="22"/>
        <v>91.71</v>
      </c>
      <c r="E327">
        <f t="shared" si="23"/>
        <v>105.68</v>
      </c>
      <c r="H327" t="str">
        <f t="shared" si="21"/>
        <v>Negative slope</v>
      </c>
    </row>
    <row r="328" spans="1:8" x14ac:dyDescent="0.2">
      <c r="A328" s="20">
        <v>41900</v>
      </c>
      <c r="B328">
        <v>93.07</v>
      </c>
      <c r="C328">
        <f t="shared" si="20"/>
        <v>94.230476190476196</v>
      </c>
      <c r="D328">
        <f t="shared" si="22"/>
        <v>91.71</v>
      </c>
      <c r="E328">
        <f t="shared" si="23"/>
        <v>105.68</v>
      </c>
      <c r="H328" t="str">
        <f t="shared" si="21"/>
        <v>Negative slope</v>
      </c>
    </row>
    <row r="329" spans="1:8" x14ac:dyDescent="0.2">
      <c r="A329" s="20">
        <v>41899</v>
      </c>
      <c r="B329">
        <v>94.33</v>
      </c>
      <c r="C329">
        <f t="shared" si="20"/>
        <v>94.291428571428568</v>
      </c>
      <c r="D329">
        <f t="shared" si="22"/>
        <v>91.71</v>
      </c>
      <c r="E329">
        <f t="shared" si="23"/>
        <v>105.68</v>
      </c>
      <c r="H329" t="str">
        <f t="shared" si="21"/>
        <v>Negative slope</v>
      </c>
    </row>
    <row r="330" spans="1:8" x14ac:dyDescent="0.2">
      <c r="A330" s="20">
        <v>41898</v>
      </c>
      <c r="B330">
        <v>94.91</v>
      </c>
      <c r="C330">
        <f t="shared" si="20"/>
        <v>94.391904761904769</v>
      </c>
      <c r="D330">
        <f t="shared" si="22"/>
        <v>91.71</v>
      </c>
      <c r="E330">
        <f t="shared" si="23"/>
        <v>105.68</v>
      </c>
      <c r="H330" t="str">
        <f t="shared" si="21"/>
        <v>Negative slope</v>
      </c>
    </row>
    <row r="331" spans="1:8" x14ac:dyDescent="0.2">
      <c r="A331" s="20">
        <v>41897</v>
      </c>
      <c r="B331">
        <v>92.86</v>
      </c>
      <c r="C331">
        <f t="shared" si="20"/>
        <v>94.505714285714276</v>
      </c>
      <c r="D331">
        <f t="shared" si="22"/>
        <v>91.71</v>
      </c>
      <c r="E331">
        <f t="shared" si="23"/>
        <v>105.68</v>
      </c>
      <c r="H331" t="str">
        <f t="shared" si="21"/>
        <v>Negative slope</v>
      </c>
    </row>
    <row r="332" spans="1:8" x14ac:dyDescent="0.2">
      <c r="A332" s="20">
        <v>41894</v>
      </c>
      <c r="B332">
        <v>92.18</v>
      </c>
      <c r="C332">
        <f t="shared" si="20"/>
        <v>94.633333333333326</v>
      </c>
      <c r="D332">
        <f t="shared" si="22"/>
        <v>91.71</v>
      </c>
      <c r="E332">
        <f t="shared" si="23"/>
        <v>105.68</v>
      </c>
      <c r="H332" t="str">
        <f t="shared" si="21"/>
        <v>Negative slope</v>
      </c>
    </row>
    <row r="333" spans="1:8" x14ac:dyDescent="0.2">
      <c r="A333" s="20">
        <v>41893</v>
      </c>
      <c r="B333">
        <v>92.89</v>
      </c>
      <c r="C333">
        <f t="shared" si="20"/>
        <v>94.889999999999986</v>
      </c>
      <c r="D333">
        <f t="shared" si="22"/>
        <v>91.71</v>
      </c>
      <c r="E333">
        <f t="shared" si="23"/>
        <v>105.68</v>
      </c>
      <c r="H333" t="str">
        <f t="shared" si="21"/>
        <v>Negative slope</v>
      </c>
    </row>
    <row r="334" spans="1:8" x14ac:dyDescent="0.2">
      <c r="A334" s="20">
        <v>41892</v>
      </c>
      <c r="B334">
        <v>91.71</v>
      </c>
      <c r="C334">
        <f t="shared" si="20"/>
        <v>95.102857142857118</v>
      </c>
      <c r="D334">
        <f t="shared" si="22"/>
        <v>91.71</v>
      </c>
      <c r="E334">
        <f t="shared" si="23"/>
        <v>106.06</v>
      </c>
      <c r="H334" t="str">
        <f t="shared" si="21"/>
        <v>Negative slope</v>
      </c>
    </row>
    <row r="335" spans="1:8" x14ac:dyDescent="0.2">
      <c r="A335" s="20">
        <v>41891</v>
      </c>
      <c r="B335">
        <v>92.73</v>
      </c>
      <c r="C335">
        <f t="shared" si="20"/>
        <v>95.406666666666652</v>
      </c>
      <c r="D335">
        <f t="shared" si="22"/>
        <v>92.64</v>
      </c>
      <c r="E335">
        <f t="shared" si="23"/>
        <v>106.07</v>
      </c>
      <c r="H335" t="str">
        <f t="shared" si="21"/>
        <v>Negative slope</v>
      </c>
    </row>
    <row r="336" spans="1:8" x14ac:dyDescent="0.2">
      <c r="A336" s="20">
        <v>41890</v>
      </c>
      <c r="B336">
        <v>92.64</v>
      </c>
      <c r="C336">
        <f t="shared" si="20"/>
        <v>95.639047619047602</v>
      </c>
      <c r="D336">
        <f t="shared" si="22"/>
        <v>92.64</v>
      </c>
      <c r="E336">
        <f t="shared" si="23"/>
        <v>106.46</v>
      </c>
      <c r="H336" t="str">
        <f t="shared" si="21"/>
        <v>Negative slope</v>
      </c>
    </row>
    <row r="337" spans="1:8" x14ac:dyDescent="0.2">
      <c r="A337" s="20">
        <v>41887</v>
      </c>
      <c r="B337">
        <v>93.32</v>
      </c>
      <c r="C337">
        <f t="shared" si="20"/>
        <v>95.862857142857109</v>
      </c>
      <c r="D337">
        <f t="shared" si="22"/>
        <v>92.92</v>
      </c>
      <c r="E337">
        <f t="shared" si="23"/>
        <v>106.49</v>
      </c>
      <c r="H337" t="str">
        <f t="shared" si="21"/>
        <v>Negative slope</v>
      </c>
    </row>
    <row r="338" spans="1:8" x14ac:dyDescent="0.2">
      <c r="A338" s="20">
        <v>41886</v>
      </c>
      <c r="B338">
        <v>94.51</v>
      </c>
      <c r="C338">
        <f t="shared" si="20"/>
        <v>96.034761904761879</v>
      </c>
      <c r="D338">
        <f t="shared" si="22"/>
        <v>92.92</v>
      </c>
      <c r="E338">
        <f t="shared" si="23"/>
        <v>107.04</v>
      </c>
      <c r="H338" t="str">
        <f t="shared" si="21"/>
        <v>Negative slope</v>
      </c>
    </row>
    <row r="339" spans="1:8" x14ac:dyDescent="0.2">
      <c r="A339" s="20">
        <v>41885</v>
      </c>
      <c r="B339">
        <v>95.5</v>
      </c>
      <c r="C339">
        <f t="shared" si="20"/>
        <v>96.169523809523781</v>
      </c>
      <c r="D339">
        <f t="shared" si="22"/>
        <v>92.92</v>
      </c>
      <c r="E339">
        <f t="shared" si="23"/>
        <v>107.04</v>
      </c>
      <c r="H339" t="str">
        <f t="shared" si="21"/>
        <v>Negative slope</v>
      </c>
    </row>
    <row r="340" spans="1:8" x14ac:dyDescent="0.2">
      <c r="A340" s="20">
        <v>41884</v>
      </c>
      <c r="B340">
        <v>92.92</v>
      </c>
      <c r="C340">
        <f t="shared" si="20"/>
        <v>96.300952380952353</v>
      </c>
      <c r="D340">
        <f t="shared" si="22"/>
        <v>92.92</v>
      </c>
      <c r="E340">
        <f t="shared" si="23"/>
        <v>107.04</v>
      </c>
      <c r="H340" t="str">
        <f t="shared" si="21"/>
        <v>Negative slope</v>
      </c>
    </row>
    <row r="341" spans="1:8" x14ac:dyDescent="0.2">
      <c r="A341" s="20">
        <v>41880</v>
      </c>
      <c r="B341">
        <v>97.86</v>
      </c>
      <c r="C341">
        <f t="shared" si="20"/>
        <v>96.536190476190441</v>
      </c>
      <c r="D341">
        <f t="shared" si="22"/>
        <v>93.61</v>
      </c>
      <c r="E341">
        <f t="shared" si="23"/>
        <v>107.95</v>
      </c>
      <c r="H341" t="str">
        <f t="shared" si="21"/>
        <v>Negative slope</v>
      </c>
    </row>
    <row r="342" spans="1:8" x14ac:dyDescent="0.2">
      <c r="A342" s="20">
        <v>41879</v>
      </c>
      <c r="B342">
        <v>96.44</v>
      </c>
      <c r="C342">
        <f t="shared" si="20"/>
        <v>96.553809523809491</v>
      </c>
      <c r="D342">
        <f t="shared" si="22"/>
        <v>93.61</v>
      </c>
      <c r="E342">
        <f t="shared" si="23"/>
        <v>107.95</v>
      </c>
      <c r="H342" t="str">
        <f t="shared" si="21"/>
        <v>Negative slope</v>
      </c>
    </row>
    <row r="343" spans="1:8" x14ac:dyDescent="0.2">
      <c r="A343" s="20">
        <v>41878</v>
      </c>
      <c r="B343">
        <v>95.82</v>
      </c>
      <c r="C343">
        <f t="shared" si="20"/>
        <v>96.927619047619018</v>
      </c>
      <c r="D343">
        <f t="shared" si="22"/>
        <v>93.61</v>
      </c>
      <c r="E343">
        <f t="shared" si="23"/>
        <v>107.95</v>
      </c>
      <c r="H343" t="str">
        <f t="shared" si="21"/>
        <v>Negative slope</v>
      </c>
    </row>
    <row r="344" spans="1:8" x14ac:dyDescent="0.2">
      <c r="A344" s="20">
        <v>41877</v>
      </c>
      <c r="B344">
        <v>95.78</v>
      </c>
      <c r="C344">
        <f t="shared" si="20"/>
        <v>97.360476190476163</v>
      </c>
      <c r="D344">
        <f t="shared" si="22"/>
        <v>93.61</v>
      </c>
      <c r="E344">
        <f t="shared" si="23"/>
        <v>107.95</v>
      </c>
      <c r="H344" t="str">
        <f t="shared" si="21"/>
        <v>Negative slope</v>
      </c>
    </row>
    <row r="345" spans="1:8" x14ac:dyDescent="0.2">
      <c r="A345" s="20">
        <v>41876</v>
      </c>
      <c r="B345">
        <v>95.39</v>
      </c>
      <c r="C345">
        <f t="shared" si="20"/>
        <v>97.831904761904752</v>
      </c>
      <c r="D345">
        <f t="shared" si="22"/>
        <v>93.61</v>
      </c>
      <c r="E345">
        <f t="shared" si="23"/>
        <v>107.95</v>
      </c>
      <c r="H345" t="str">
        <f t="shared" si="21"/>
        <v>Negative slope</v>
      </c>
    </row>
    <row r="346" spans="1:8" x14ac:dyDescent="0.2">
      <c r="A346" s="20">
        <v>41873</v>
      </c>
      <c r="B346">
        <v>93.61</v>
      </c>
      <c r="C346">
        <f t="shared" si="20"/>
        <v>98.300476190476189</v>
      </c>
      <c r="D346">
        <f t="shared" si="22"/>
        <v>93.61</v>
      </c>
      <c r="E346">
        <f t="shared" si="23"/>
        <v>107.95</v>
      </c>
      <c r="H346" t="str">
        <f t="shared" si="21"/>
        <v>Negative slope</v>
      </c>
    </row>
    <row r="347" spans="1:8" x14ac:dyDescent="0.2">
      <c r="A347" s="20">
        <v>41872</v>
      </c>
      <c r="B347">
        <v>93.97</v>
      </c>
      <c r="C347">
        <f t="shared" si="20"/>
        <v>98.736190476190473</v>
      </c>
      <c r="D347">
        <f t="shared" si="22"/>
        <v>93.97</v>
      </c>
      <c r="E347">
        <f t="shared" si="23"/>
        <v>107.95</v>
      </c>
      <c r="H347" t="str">
        <f t="shared" si="21"/>
        <v>Negative slope</v>
      </c>
    </row>
    <row r="348" spans="1:8" x14ac:dyDescent="0.2">
      <c r="A348" s="20">
        <v>41871</v>
      </c>
      <c r="B348">
        <v>96.4</v>
      </c>
      <c r="C348">
        <f t="shared" si="20"/>
        <v>99.204761904761909</v>
      </c>
      <c r="D348">
        <f t="shared" si="22"/>
        <v>94.35</v>
      </c>
      <c r="E348">
        <f t="shared" si="23"/>
        <v>107.95</v>
      </c>
      <c r="H348" t="str">
        <f t="shared" si="21"/>
        <v>Negative slope</v>
      </c>
    </row>
    <row r="349" spans="1:8" x14ac:dyDescent="0.2">
      <c r="A349" s="20">
        <v>41870</v>
      </c>
      <c r="B349">
        <v>94.35</v>
      </c>
      <c r="C349">
        <f t="shared" si="20"/>
        <v>99.594761904761896</v>
      </c>
      <c r="D349">
        <f t="shared" si="22"/>
        <v>94.35</v>
      </c>
      <c r="E349">
        <f t="shared" si="23"/>
        <v>107.95</v>
      </c>
      <c r="H349" t="str">
        <f t="shared" si="21"/>
        <v>Negative slope</v>
      </c>
    </row>
    <row r="350" spans="1:8" x14ac:dyDescent="0.2">
      <c r="A350" s="20">
        <v>41869</v>
      </c>
      <c r="B350">
        <v>96.44</v>
      </c>
      <c r="C350">
        <f t="shared" si="20"/>
        <v>100.11809523809524</v>
      </c>
      <c r="D350">
        <f t="shared" si="22"/>
        <v>95.54</v>
      </c>
      <c r="E350">
        <f t="shared" si="23"/>
        <v>107.95</v>
      </c>
      <c r="H350" t="str">
        <f t="shared" si="21"/>
        <v>Negative slope</v>
      </c>
    </row>
    <row r="351" spans="1:8" x14ac:dyDescent="0.2">
      <c r="A351" s="20">
        <v>41866</v>
      </c>
      <c r="B351">
        <v>97.3</v>
      </c>
      <c r="C351">
        <f t="shared" si="20"/>
        <v>100.47</v>
      </c>
      <c r="D351">
        <f t="shared" si="22"/>
        <v>95.54</v>
      </c>
      <c r="E351">
        <f t="shared" si="23"/>
        <v>107.95</v>
      </c>
      <c r="H351" t="str">
        <f t="shared" si="21"/>
        <v>Negative slope</v>
      </c>
    </row>
    <row r="352" spans="1:8" x14ac:dyDescent="0.2">
      <c r="A352" s="20">
        <v>41865</v>
      </c>
      <c r="B352">
        <v>95.54</v>
      </c>
      <c r="C352">
        <f t="shared" si="20"/>
        <v>100.78142857142856</v>
      </c>
      <c r="D352">
        <f t="shared" si="22"/>
        <v>95.54</v>
      </c>
      <c r="E352">
        <f t="shared" si="23"/>
        <v>107.95</v>
      </c>
      <c r="H352" t="str">
        <f t="shared" si="21"/>
        <v>Negative slope</v>
      </c>
    </row>
    <row r="353" spans="1:8" x14ac:dyDescent="0.2">
      <c r="A353" s="20">
        <v>41864</v>
      </c>
      <c r="B353">
        <v>97.57</v>
      </c>
      <c r="C353">
        <f t="shared" si="20"/>
        <v>101.08333333333333</v>
      </c>
      <c r="D353">
        <f t="shared" si="22"/>
        <v>96.93</v>
      </c>
      <c r="E353">
        <f t="shared" si="23"/>
        <v>107.95</v>
      </c>
      <c r="H353" t="str">
        <f t="shared" si="21"/>
        <v>Negative slope</v>
      </c>
    </row>
    <row r="354" spans="1:8" x14ac:dyDescent="0.2">
      <c r="A354" s="20">
        <v>41863</v>
      </c>
      <c r="B354">
        <v>97.36</v>
      </c>
      <c r="C354">
        <f t="shared" si="20"/>
        <v>101.22571428571428</v>
      </c>
      <c r="D354">
        <f t="shared" si="22"/>
        <v>96.93</v>
      </c>
      <c r="E354">
        <f t="shared" si="23"/>
        <v>107.95</v>
      </c>
      <c r="H354" t="str">
        <f t="shared" si="21"/>
        <v>Negative slope</v>
      </c>
    </row>
    <row r="355" spans="1:8" x14ac:dyDescent="0.2">
      <c r="A355" s="20">
        <v>41862</v>
      </c>
      <c r="B355">
        <v>98.09</v>
      </c>
      <c r="C355">
        <f t="shared" si="20"/>
        <v>101.43380952380951</v>
      </c>
      <c r="D355">
        <f t="shared" si="22"/>
        <v>96.93</v>
      </c>
      <c r="E355">
        <f t="shared" si="23"/>
        <v>107.95</v>
      </c>
      <c r="H355" t="str">
        <f t="shared" si="21"/>
        <v>Negative slope</v>
      </c>
    </row>
    <row r="356" spans="1:8" x14ac:dyDescent="0.2">
      <c r="A356" s="20">
        <v>41859</v>
      </c>
      <c r="B356">
        <v>97.61</v>
      </c>
      <c r="C356">
        <f t="shared" si="20"/>
        <v>101.59523809523807</v>
      </c>
      <c r="D356">
        <f t="shared" si="22"/>
        <v>96.93</v>
      </c>
      <c r="E356">
        <f t="shared" si="23"/>
        <v>107.95</v>
      </c>
      <c r="H356" t="str">
        <f t="shared" si="21"/>
        <v>Negative slope</v>
      </c>
    </row>
    <row r="357" spans="1:8" x14ac:dyDescent="0.2">
      <c r="A357" s="20">
        <v>41858</v>
      </c>
      <c r="B357">
        <v>97.34</v>
      </c>
      <c r="C357">
        <f t="shared" si="20"/>
        <v>101.88095238095237</v>
      </c>
      <c r="D357">
        <f t="shared" si="22"/>
        <v>96.93</v>
      </c>
      <c r="E357">
        <f t="shared" si="23"/>
        <v>107.95</v>
      </c>
      <c r="H357" t="str">
        <f t="shared" si="21"/>
        <v>Negative slope</v>
      </c>
    </row>
    <row r="358" spans="1:8" x14ac:dyDescent="0.2">
      <c r="A358" s="20">
        <v>41857</v>
      </c>
      <c r="B358">
        <v>96.93</v>
      </c>
      <c r="C358">
        <f t="shared" si="20"/>
        <v>102.14714285714284</v>
      </c>
      <c r="D358">
        <f t="shared" si="22"/>
        <v>96.93</v>
      </c>
      <c r="E358">
        <f t="shared" si="23"/>
        <v>107.95</v>
      </c>
      <c r="H358" t="str">
        <f t="shared" si="21"/>
        <v>Negative slope</v>
      </c>
    </row>
    <row r="359" spans="1:8" x14ac:dyDescent="0.2">
      <c r="A359" s="20">
        <v>41856</v>
      </c>
      <c r="B359">
        <v>97.34</v>
      </c>
      <c r="C359">
        <f t="shared" si="20"/>
        <v>102.48666666666665</v>
      </c>
      <c r="D359">
        <f t="shared" si="22"/>
        <v>97.34</v>
      </c>
      <c r="E359">
        <f t="shared" si="23"/>
        <v>107.95</v>
      </c>
      <c r="H359" t="str">
        <f t="shared" si="21"/>
        <v>Negative slope</v>
      </c>
    </row>
    <row r="360" spans="1:8" x14ac:dyDescent="0.2">
      <c r="A360" s="20">
        <v>41855</v>
      </c>
      <c r="B360">
        <v>98.26</v>
      </c>
      <c r="C360">
        <f t="shared" si="20"/>
        <v>102.81285714285713</v>
      </c>
      <c r="D360">
        <f t="shared" si="22"/>
        <v>97.86</v>
      </c>
      <c r="E360">
        <f t="shared" si="23"/>
        <v>107.95</v>
      </c>
      <c r="H360" t="str">
        <f t="shared" si="21"/>
        <v>Negative slope</v>
      </c>
    </row>
    <row r="361" spans="1:8" x14ac:dyDescent="0.2">
      <c r="A361" s="20">
        <v>41852</v>
      </c>
      <c r="B361">
        <v>97.86</v>
      </c>
      <c r="C361">
        <f t="shared" si="20"/>
        <v>103.12238095238096</v>
      </c>
      <c r="D361">
        <f t="shared" si="22"/>
        <v>97.86</v>
      </c>
      <c r="E361">
        <f t="shared" si="23"/>
        <v>107.95</v>
      </c>
      <c r="H361" t="str">
        <f t="shared" si="21"/>
        <v>Negative slope</v>
      </c>
    </row>
    <row r="362" spans="1:8" x14ac:dyDescent="0.2">
      <c r="A362" s="20">
        <v>41851</v>
      </c>
      <c r="B362">
        <v>98.23</v>
      </c>
      <c r="C362">
        <f t="shared" si="20"/>
        <v>103.47095238095237</v>
      </c>
      <c r="D362">
        <f t="shared" si="22"/>
        <v>98.23</v>
      </c>
      <c r="E362">
        <f t="shared" si="23"/>
        <v>107.95</v>
      </c>
      <c r="H362" t="str">
        <f t="shared" si="21"/>
        <v>Negative slope</v>
      </c>
    </row>
    <row r="363" spans="1:8" x14ac:dyDescent="0.2">
      <c r="A363" s="20">
        <v>41850</v>
      </c>
      <c r="B363">
        <v>104.29</v>
      </c>
      <c r="C363">
        <f t="shared" si="20"/>
        <v>103.84380952380954</v>
      </c>
      <c r="D363">
        <f t="shared" si="22"/>
        <v>100.56</v>
      </c>
      <c r="E363">
        <f t="shared" si="23"/>
        <v>107.95</v>
      </c>
      <c r="H363" t="str">
        <f t="shared" si="21"/>
        <v>Negative slope</v>
      </c>
    </row>
    <row r="364" spans="1:8" x14ac:dyDescent="0.2">
      <c r="A364" s="20">
        <v>41849</v>
      </c>
      <c r="B364">
        <v>104.91</v>
      </c>
      <c r="C364">
        <f t="shared" si="20"/>
        <v>103.92857142857144</v>
      </c>
      <c r="D364">
        <f t="shared" si="22"/>
        <v>100.56</v>
      </c>
      <c r="E364">
        <f t="shared" si="23"/>
        <v>107.95</v>
      </c>
      <c r="H364" t="str">
        <f t="shared" si="21"/>
        <v>Negative slope</v>
      </c>
    </row>
    <row r="365" spans="1:8" x14ac:dyDescent="0.2">
      <c r="A365" s="20">
        <v>41848</v>
      </c>
      <c r="B365">
        <v>105.68</v>
      </c>
      <c r="C365">
        <f t="shared" si="20"/>
        <v>104.00238095238096</v>
      </c>
      <c r="D365">
        <f t="shared" si="22"/>
        <v>100.56</v>
      </c>
      <c r="E365">
        <f t="shared" si="23"/>
        <v>107.95</v>
      </c>
      <c r="H365" t="str">
        <f t="shared" si="21"/>
        <v>Negative slope</v>
      </c>
    </row>
    <row r="366" spans="1:8" x14ac:dyDescent="0.2">
      <c r="A366" s="20">
        <v>41845</v>
      </c>
      <c r="B366">
        <v>105.23</v>
      </c>
      <c r="C366">
        <f t="shared" si="20"/>
        <v>104.04095238095236</v>
      </c>
      <c r="D366">
        <f t="shared" si="22"/>
        <v>100.56</v>
      </c>
      <c r="E366">
        <f t="shared" si="23"/>
        <v>107.95</v>
      </c>
      <c r="H366" t="str">
        <f t="shared" si="21"/>
        <v>Negative slope</v>
      </c>
    </row>
    <row r="367" spans="1:8" x14ac:dyDescent="0.2">
      <c r="A367" s="20">
        <v>41844</v>
      </c>
      <c r="B367">
        <v>102.76</v>
      </c>
      <c r="C367">
        <f t="shared" si="20"/>
        <v>104.12714285714286</v>
      </c>
      <c r="D367">
        <f t="shared" si="22"/>
        <v>100.56</v>
      </c>
      <c r="E367">
        <f t="shared" si="23"/>
        <v>107.95</v>
      </c>
      <c r="H367" t="str">
        <f t="shared" si="21"/>
        <v>Negative slope</v>
      </c>
    </row>
    <row r="368" spans="1:8" x14ac:dyDescent="0.2">
      <c r="A368" s="20">
        <v>41843</v>
      </c>
      <c r="B368">
        <v>103.81</v>
      </c>
      <c r="C368">
        <f t="shared" si="20"/>
        <v>104.31190476190474</v>
      </c>
      <c r="D368">
        <f t="shared" si="22"/>
        <v>100.56</v>
      </c>
      <c r="E368">
        <f t="shared" si="23"/>
        <v>107.95</v>
      </c>
      <c r="H368" t="str">
        <f t="shared" si="21"/>
        <v>Negative slope</v>
      </c>
    </row>
    <row r="369" spans="1:8" x14ac:dyDescent="0.2">
      <c r="A369" s="20">
        <v>41842</v>
      </c>
      <c r="B369">
        <v>104.59</v>
      </c>
      <c r="C369">
        <f t="shared" si="20"/>
        <v>104.45571428571427</v>
      </c>
      <c r="D369">
        <f t="shared" si="22"/>
        <v>100.56</v>
      </c>
      <c r="E369">
        <f t="shared" si="23"/>
        <v>107.95</v>
      </c>
      <c r="H369" t="str">
        <f t="shared" si="21"/>
        <v>Negative slope</v>
      </c>
    </row>
    <row r="370" spans="1:8" x14ac:dyDescent="0.2">
      <c r="A370" s="20">
        <v>41841</v>
      </c>
      <c r="B370">
        <v>105.34</v>
      </c>
      <c r="C370">
        <f t="shared" si="20"/>
        <v>104.61571428571428</v>
      </c>
      <c r="D370">
        <f t="shared" si="22"/>
        <v>100.32</v>
      </c>
      <c r="E370">
        <f t="shared" si="23"/>
        <v>107.95</v>
      </c>
      <c r="H370" t="str">
        <f t="shared" si="21"/>
        <v>Negative slope</v>
      </c>
    </row>
    <row r="371" spans="1:8" x14ac:dyDescent="0.2">
      <c r="A371" s="20">
        <v>41838</v>
      </c>
      <c r="B371">
        <v>103.83</v>
      </c>
      <c r="C371">
        <f t="shared" si="20"/>
        <v>104.69857142857143</v>
      </c>
      <c r="D371">
        <f t="shared" si="22"/>
        <v>100.32</v>
      </c>
      <c r="E371">
        <f t="shared" si="23"/>
        <v>107.95</v>
      </c>
      <c r="H371" t="str">
        <f t="shared" si="21"/>
        <v>Negative slope</v>
      </c>
    </row>
    <row r="372" spans="1:8" x14ac:dyDescent="0.2">
      <c r="A372" s="20">
        <v>41837</v>
      </c>
      <c r="B372">
        <v>103.84</v>
      </c>
      <c r="C372">
        <f t="shared" si="20"/>
        <v>104.83238095238096</v>
      </c>
      <c r="D372">
        <f t="shared" si="22"/>
        <v>100.32</v>
      </c>
      <c r="E372">
        <f t="shared" si="23"/>
        <v>107.95</v>
      </c>
      <c r="H372" t="str">
        <f t="shared" si="21"/>
        <v>Negative slope</v>
      </c>
    </row>
    <row r="373" spans="1:8" x14ac:dyDescent="0.2">
      <c r="A373" s="20">
        <v>41836</v>
      </c>
      <c r="B373">
        <v>101.88</v>
      </c>
      <c r="C373">
        <f t="shared" si="20"/>
        <v>104.98047619047618</v>
      </c>
      <c r="D373">
        <f t="shared" si="22"/>
        <v>99.81</v>
      </c>
      <c r="E373">
        <f t="shared" si="23"/>
        <v>107.95</v>
      </c>
      <c r="H373" t="str">
        <f t="shared" si="21"/>
        <v>Negative slope</v>
      </c>
    </row>
    <row r="374" spans="1:8" x14ac:dyDescent="0.2">
      <c r="A374" s="20">
        <v>41835</v>
      </c>
      <c r="B374">
        <v>100.56</v>
      </c>
      <c r="C374">
        <f t="shared" si="20"/>
        <v>105.24904761904762</v>
      </c>
      <c r="D374">
        <f t="shared" si="22"/>
        <v>99.74</v>
      </c>
      <c r="E374">
        <f t="shared" si="23"/>
        <v>107.95</v>
      </c>
      <c r="H374" t="str">
        <f t="shared" si="21"/>
        <v>Negative slope</v>
      </c>
    </row>
    <row r="375" spans="1:8" x14ac:dyDescent="0.2">
      <c r="A375" s="20">
        <v>41834</v>
      </c>
      <c r="B375">
        <v>101.73</v>
      </c>
      <c r="C375">
        <f t="shared" si="20"/>
        <v>105.57904761904761</v>
      </c>
      <c r="D375">
        <f t="shared" si="22"/>
        <v>99.74</v>
      </c>
      <c r="E375">
        <f t="shared" si="23"/>
        <v>107.95</v>
      </c>
      <c r="H375" t="str">
        <f t="shared" si="21"/>
        <v>Negative slope</v>
      </c>
    </row>
    <row r="376" spans="1:8" x14ac:dyDescent="0.2">
      <c r="A376" s="20">
        <v>41831</v>
      </c>
      <c r="B376">
        <v>101.48</v>
      </c>
      <c r="C376">
        <f t="shared" si="20"/>
        <v>105.8395238095238</v>
      </c>
      <c r="D376">
        <f t="shared" si="22"/>
        <v>99.69</v>
      </c>
      <c r="E376">
        <f t="shared" si="23"/>
        <v>107.95</v>
      </c>
      <c r="H376" t="str">
        <f t="shared" si="21"/>
        <v>Negative slope</v>
      </c>
    </row>
    <row r="377" spans="1:8" x14ac:dyDescent="0.2">
      <c r="A377" s="20">
        <v>41830</v>
      </c>
      <c r="B377">
        <v>103.61</v>
      </c>
      <c r="C377">
        <f t="shared" si="20"/>
        <v>106.00904761904762</v>
      </c>
      <c r="D377">
        <f t="shared" si="22"/>
        <v>99.69</v>
      </c>
      <c r="E377">
        <f t="shared" si="23"/>
        <v>107.95</v>
      </c>
      <c r="H377" t="str">
        <f t="shared" si="21"/>
        <v>Negative slope</v>
      </c>
    </row>
    <row r="378" spans="1:8" x14ac:dyDescent="0.2">
      <c r="A378" s="20">
        <v>41829</v>
      </c>
      <c r="B378">
        <v>102.93</v>
      </c>
      <c r="C378">
        <f t="shared" si="20"/>
        <v>106.07619047619049</v>
      </c>
      <c r="D378">
        <f t="shared" si="22"/>
        <v>99.69</v>
      </c>
      <c r="E378">
        <f t="shared" si="23"/>
        <v>107.95</v>
      </c>
      <c r="H378" t="str">
        <f t="shared" si="21"/>
        <v>Negative slope</v>
      </c>
    </row>
    <row r="379" spans="1:8" x14ac:dyDescent="0.2">
      <c r="A379" s="20">
        <v>41828</v>
      </c>
      <c r="B379">
        <v>104.06</v>
      </c>
      <c r="C379">
        <f t="shared" si="20"/>
        <v>106.17904761904762</v>
      </c>
      <c r="D379">
        <f t="shared" si="22"/>
        <v>99.69</v>
      </c>
      <c r="E379">
        <f t="shared" si="23"/>
        <v>107.95</v>
      </c>
      <c r="H379" t="str">
        <f t="shared" si="21"/>
        <v>Positive slope</v>
      </c>
    </row>
    <row r="380" spans="1:8" x14ac:dyDescent="0.2">
      <c r="A380" s="20">
        <v>41827</v>
      </c>
      <c r="B380">
        <v>104.19</v>
      </c>
      <c r="C380">
        <f t="shared" si="20"/>
        <v>106.14380952380955</v>
      </c>
      <c r="D380">
        <f t="shared" si="22"/>
        <v>99.69</v>
      </c>
      <c r="E380">
        <f t="shared" si="23"/>
        <v>107.95</v>
      </c>
      <c r="H380" t="str">
        <f t="shared" si="21"/>
        <v>Positive slope</v>
      </c>
    </row>
    <row r="381" spans="1:8" x14ac:dyDescent="0.2">
      <c r="A381" s="20">
        <v>41823</v>
      </c>
      <c r="B381">
        <v>104.76</v>
      </c>
      <c r="C381">
        <f t="shared" si="20"/>
        <v>106.0952380952381</v>
      </c>
      <c r="D381">
        <f t="shared" si="22"/>
        <v>99.69</v>
      </c>
      <c r="E381">
        <f t="shared" si="23"/>
        <v>107.95</v>
      </c>
      <c r="H381" t="str">
        <f t="shared" si="21"/>
        <v>Positive slope</v>
      </c>
    </row>
    <row r="382" spans="1:8" x14ac:dyDescent="0.2">
      <c r="A382" s="20">
        <v>41822</v>
      </c>
      <c r="B382">
        <v>105.18</v>
      </c>
      <c r="C382">
        <f t="shared" si="20"/>
        <v>106.0242857142857</v>
      </c>
      <c r="D382">
        <f t="shared" si="22"/>
        <v>99.69</v>
      </c>
      <c r="E382">
        <f t="shared" si="23"/>
        <v>107.95</v>
      </c>
      <c r="H382" t="str">
        <f t="shared" si="21"/>
        <v>Positive slope</v>
      </c>
    </row>
    <row r="383" spans="1:8" x14ac:dyDescent="0.2">
      <c r="A383" s="20">
        <v>41821</v>
      </c>
      <c r="B383">
        <v>106.06</v>
      </c>
      <c r="C383">
        <f t="shared" si="20"/>
        <v>105.9366666666667</v>
      </c>
      <c r="D383">
        <f t="shared" si="22"/>
        <v>99.69</v>
      </c>
      <c r="E383">
        <f t="shared" si="23"/>
        <v>107.95</v>
      </c>
      <c r="H383" t="str">
        <f t="shared" si="21"/>
        <v>Positive slope</v>
      </c>
    </row>
    <row r="384" spans="1:8" x14ac:dyDescent="0.2">
      <c r="A384" s="20">
        <v>41820</v>
      </c>
      <c r="B384">
        <v>106.07</v>
      </c>
      <c r="C384">
        <f t="shared" si="20"/>
        <v>105.79428571428573</v>
      </c>
      <c r="D384">
        <f t="shared" si="22"/>
        <v>99.69</v>
      </c>
      <c r="E384">
        <f t="shared" si="23"/>
        <v>107.95</v>
      </c>
      <c r="H384" t="str">
        <f t="shared" si="21"/>
        <v>Positive slope</v>
      </c>
    </row>
    <row r="385" spans="1:8" x14ac:dyDescent="0.2">
      <c r="A385" s="20">
        <v>41817</v>
      </c>
      <c r="B385">
        <v>106.46</v>
      </c>
      <c r="C385">
        <f t="shared" si="20"/>
        <v>105.66714285714286</v>
      </c>
      <c r="D385">
        <f t="shared" si="22"/>
        <v>99.69</v>
      </c>
      <c r="E385">
        <f t="shared" si="23"/>
        <v>107.95</v>
      </c>
      <c r="H385" t="str">
        <f t="shared" si="21"/>
        <v>Positive slope</v>
      </c>
    </row>
    <row r="386" spans="1:8" x14ac:dyDescent="0.2">
      <c r="A386" s="20">
        <v>41816</v>
      </c>
      <c r="B386">
        <v>106.49</v>
      </c>
      <c r="C386">
        <f t="shared" ref="C386:C449" si="24">AVERAGE(B386:B406)</f>
        <v>105.56238095238095</v>
      </c>
      <c r="D386">
        <f t="shared" si="22"/>
        <v>99.69</v>
      </c>
      <c r="E386">
        <f t="shared" si="23"/>
        <v>107.95</v>
      </c>
      <c r="H386" t="str">
        <f t="shared" ref="H386:H449" si="25">IF((C386-C387)&gt;0, "Positive slope", "Negative slope")</f>
        <v>Positive slope</v>
      </c>
    </row>
    <row r="387" spans="1:8" x14ac:dyDescent="0.2">
      <c r="A387" s="20">
        <v>41815</v>
      </c>
      <c r="B387">
        <v>107.04</v>
      </c>
      <c r="C387">
        <f t="shared" si="24"/>
        <v>105.4138095238095</v>
      </c>
      <c r="D387">
        <f t="shared" ref="D387:D450" si="26">MIN(B387:B436)</f>
        <v>99.69</v>
      </c>
      <c r="E387">
        <f t="shared" ref="E387:E450" si="27">MAX(B387:B436)</f>
        <v>107.95</v>
      </c>
      <c r="H387" t="str">
        <f t="shared" si="25"/>
        <v>Positive slope</v>
      </c>
    </row>
    <row r="388" spans="1:8" x14ac:dyDescent="0.2">
      <c r="A388" s="20">
        <v>41814</v>
      </c>
      <c r="B388">
        <v>106.64</v>
      </c>
      <c r="C388">
        <f t="shared" si="24"/>
        <v>105.30619047619049</v>
      </c>
      <c r="D388">
        <f t="shared" si="26"/>
        <v>99.69</v>
      </c>
      <c r="E388">
        <f t="shared" si="27"/>
        <v>107.95</v>
      </c>
      <c r="H388" t="str">
        <f t="shared" si="25"/>
        <v>Positive slope</v>
      </c>
    </row>
    <row r="389" spans="1:8" x14ac:dyDescent="0.2">
      <c r="A389" s="20">
        <v>41813</v>
      </c>
      <c r="B389">
        <v>106.83</v>
      </c>
      <c r="C389">
        <f t="shared" si="24"/>
        <v>105.22857142857144</v>
      </c>
      <c r="D389">
        <f t="shared" si="26"/>
        <v>99.69</v>
      </c>
      <c r="E389">
        <f t="shared" si="27"/>
        <v>107.95</v>
      </c>
      <c r="H389" t="str">
        <f t="shared" si="25"/>
        <v>Positive slope</v>
      </c>
    </row>
    <row r="390" spans="1:8" x14ac:dyDescent="0.2">
      <c r="A390" s="20">
        <v>41810</v>
      </c>
      <c r="B390">
        <v>107.95</v>
      </c>
      <c r="C390">
        <f t="shared" si="24"/>
        <v>105.0952380952381</v>
      </c>
      <c r="D390">
        <f t="shared" si="26"/>
        <v>99.69</v>
      </c>
      <c r="E390">
        <f t="shared" si="27"/>
        <v>107.95</v>
      </c>
      <c r="H390" t="str">
        <f t="shared" si="25"/>
        <v>Positive slope</v>
      </c>
    </row>
    <row r="391" spans="1:8" x14ac:dyDescent="0.2">
      <c r="A391" s="20">
        <v>41809</v>
      </c>
      <c r="B391">
        <v>107.08</v>
      </c>
      <c r="C391">
        <f t="shared" si="24"/>
        <v>104.92190476190477</v>
      </c>
      <c r="D391">
        <f t="shared" si="26"/>
        <v>99.69</v>
      </c>
      <c r="E391">
        <f t="shared" si="27"/>
        <v>107.52</v>
      </c>
      <c r="H391" t="str">
        <f t="shared" si="25"/>
        <v>Positive slope</v>
      </c>
    </row>
    <row r="392" spans="1:8" x14ac:dyDescent="0.2">
      <c r="A392" s="20">
        <v>41808</v>
      </c>
      <c r="B392">
        <v>106.64</v>
      </c>
      <c r="C392">
        <f t="shared" si="24"/>
        <v>104.71809523809526</v>
      </c>
      <c r="D392">
        <f t="shared" si="26"/>
        <v>99.69</v>
      </c>
      <c r="E392">
        <f t="shared" si="27"/>
        <v>107.52</v>
      </c>
      <c r="H392" t="str">
        <f t="shared" si="25"/>
        <v>Positive slope</v>
      </c>
    </row>
    <row r="393" spans="1:8" x14ac:dyDescent="0.2">
      <c r="A393" s="20">
        <v>41807</v>
      </c>
      <c r="B393">
        <v>106.95</v>
      </c>
      <c r="C393">
        <f t="shared" si="24"/>
        <v>104.54238095238092</v>
      </c>
      <c r="D393">
        <f t="shared" si="26"/>
        <v>99.69</v>
      </c>
      <c r="E393">
        <f t="shared" si="27"/>
        <v>107.52</v>
      </c>
      <c r="H393" t="str">
        <f t="shared" si="25"/>
        <v>Positive slope</v>
      </c>
    </row>
    <row r="394" spans="1:8" x14ac:dyDescent="0.2">
      <c r="A394" s="20">
        <v>41806</v>
      </c>
      <c r="B394">
        <v>107.52</v>
      </c>
      <c r="C394">
        <f t="shared" si="24"/>
        <v>104.32142857142856</v>
      </c>
      <c r="D394">
        <f t="shared" si="26"/>
        <v>99.69</v>
      </c>
      <c r="E394">
        <f t="shared" si="27"/>
        <v>107.52</v>
      </c>
      <c r="H394" t="str">
        <f t="shared" si="25"/>
        <v>Positive slope</v>
      </c>
    </row>
    <row r="395" spans="1:8" x14ac:dyDescent="0.2">
      <c r="A395" s="20">
        <v>41803</v>
      </c>
      <c r="B395">
        <v>107.49</v>
      </c>
      <c r="C395">
        <f t="shared" si="24"/>
        <v>104.04619047619046</v>
      </c>
      <c r="D395">
        <f t="shared" si="26"/>
        <v>99.69</v>
      </c>
      <c r="E395">
        <f t="shared" si="27"/>
        <v>107.49</v>
      </c>
      <c r="H395" t="str">
        <f t="shared" si="25"/>
        <v>Positive slope</v>
      </c>
    </row>
    <row r="396" spans="1:8" x14ac:dyDescent="0.2">
      <c r="A396" s="20">
        <v>41802</v>
      </c>
      <c r="B396">
        <v>107.2</v>
      </c>
      <c r="C396">
        <f t="shared" si="24"/>
        <v>103.81476190476191</v>
      </c>
      <c r="D396">
        <f t="shared" si="26"/>
        <v>99.6</v>
      </c>
      <c r="E396">
        <f t="shared" si="27"/>
        <v>107.2</v>
      </c>
      <c r="H396" t="str">
        <f t="shared" si="25"/>
        <v>Positive slope</v>
      </c>
    </row>
    <row r="397" spans="1:8" x14ac:dyDescent="0.2">
      <c r="A397" s="20">
        <v>41801</v>
      </c>
      <c r="B397">
        <v>105.04</v>
      </c>
      <c r="C397">
        <f t="shared" si="24"/>
        <v>103.56761904761905</v>
      </c>
      <c r="D397">
        <f t="shared" si="26"/>
        <v>99.6</v>
      </c>
      <c r="E397">
        <f t="shared" si="27"/>
        <v>105.09</v>
      </c>
      <c r="H397" t="str">
        <f t="shared" si="25"/>
        <v>Positive slope</v>
      </c>
    </row>
    <row r="398" spans="1:8" x14ac:dyDescent="0.2">
      <c r="A398" s="20">
        <v>41800</v>
      </c>
      <c r="B398">
        <v>105.02</v>
      </c>
      <c r="C398">
        <f t="shared" si="24"/>
        <v>103.37</v>
      </c>
      <c r="D398">
        <f t="shared" si="26"/>
        <v>99.6</v>
      </c>
      <c r="E398">
        <f t="shared" si="27"/>
        <v>105.09</v>
      </c>
      <c r="H398" t="str">
        <f t="shared" si="25"/>
        <v>Positive slope</v>
      </c>
    </row>
    <row r="399" spans="1:8" x14ac:dyDescent="0.2">
      <c r="A399" s="20">
        <v>41799</v>
      </c>
      <c r="B399">
        <v>105.09</v>
      </c>
      <c r="C399">
        <f t="shared" si="24"/>
        <v>103.14619047619048</v>
      </c>
      <c r="D399">
        <f t="shared" si="26"/>
        <v>99.6</v>
      </c>
      <c r="E399">
        <f t="shared" si="27"/>
        <v>105.09</v>
      </c>
      <c r="H399" t="str">
        <f t="shared" si="25"/>
        <v>Positive slope</v>
      </c>
    </row>
    <row r="400" spans="1:8" x14ac:dyDescent="0.2">
      <c r="A400" s="20">
        <v>41796</v>
      </c>
      <c r="B400">
        <v>103.32</v>
      </c>
      <c r="C400">
        <f t="shared" si="24"/>
        <v>102.92857142857143</v>
      </c>
      <c r="D400">
        <f t="shared" si="26"/>
        <v>99.6</v>
      </c>
      <c r="E400">
        <f t="shared" si="27"/>
        <v>105.01</v>
      </c>
      <c r="H400" t="str">
        <f t="shared" si="25"/>
        <v>Positive slope</v>
      </c>
    </row>
    <row r="401" spans="1:8" x14ac:dyDescent="0.2">
      <c r="A401" s="20">
        <v>41795</v>
      </c>
      <c r="B401">
        <v>103.17</v>
      </c>
      <c r="C401">
        <f t="shared" si="24"/>
        <v>102.82095238095239</v>
      </c>
      <c r="D401">
        <f t="shared" si="26"/>
        <v>99.6</v>
      </c>
      <c r="E401">
        <f t="shared" si="27"/>
        <v>105.01</v>
      </c>
      <c r="H401" t="str">
        <f t="shared" si="25"/>
        <v>Positive slope</v>
      </c>
    </row>
    <row r="402" spans="1:8" x14ac:dyDescent="0.2">
      <c r="A402" s="20">
        <v>41794</v>
      </c>
      <c r="B402">
        <v>103.27</v>
      </c>
      <c r="C402">
        <f t="shared" si="24"/>
        <v>102.66095238095238</v>
      </c>
      <c r="D402">
        <f t="shared" si="26"/>
        <v>99.6</v>
      </c>
      <c r="E402">
        <f t="shared" si="27"/>
        <v>105.01</v>
      </c>
      <c r="H402" t="str">
        <f t="shared" si="25"/>
        <v>Positive slope</v>
      </c>
    </row>
    <row r="403" spans="1:8" x14ac:dyDescent="0.2">
      <c r="A403" s="20">
        <v>41793</v>
      </c>
      <c r="B403">
        <v>103.34</v>
      </c>
      <c r="C403">
        <f t="shared" si="24"/>
        <v>102.49285714285713</v>
      </c>
      <c r="D403">
        <f t="shared" si="26"/>
        <v>99.6</v>
      </c>
      <c r="E403">
        <f t="shared" si="27"/>
        <v>105.01</v>
      </c>
      <c r="H403" t="str">
        <f t="shared" si="25"/>
        <v>Positive slope</v>
      </c>
    </row>
    <row r="404" spans="1:8" x14ac:dyDescent="0.2">
      <c r="A404" s="20">
        <v>41792</v>
      </c>
      <c r="B404">
        <v>103.07</v>
      </c>
      <c r="C404">
        <f t="shared" si="24"/>
        <v>102.33809523809524</v>
      </c>
      <c r="D404">
        <f t="shared" si="26"/>
        <v>99.6</v>
      </c>
      <c r="E404">
        <f t="shared" si="27"/>
        <v>105.01</v>
      </c>
      <c r="H404" t="str">
        <f t="shared" si="25"/>
        <v>Positive slope</v>
      </c>
    </row>
    <row r="405" spans="1:8" x14ac:dyDescent="0.2">
      <c r="A405" s="20">
        <v>41789</v>
      </c>
      <c r="B405">
        <v>103.4</v>
      </c>
      <c r="C405">
        <f t="shared" si="24"/>
        <v>102.17714285714285</v>
      </c>
      <c r="D405">
        <f t="shared" si="26"/>
        <v>99.6</v>
      </c>
      <c r="E405">
        <f t="shared" si="27"/>
        <v>105.01</v>
      </c>
      <c r="H405" t="str">
        <f t="shared" si="25"/>
        <v>Positive slope</v>
      </c>
    </row>
    <row r="406" spans="1:8" x14ac:dyDescent="0.2">
      <c r="A406" s="20">
        <v>41788</v>
      </c>
      <c r="B406">
        <v>104.26</v>
      </c>
      <c r="C406">
        <f t="shared" si="24"/>
        <v>102.01857142857142</v>
      </c>
      <c r="D406">
        <f t="shared" si="26"/>
        <v>99.6</v>
      </c>
      <c r="E406">
        <f t="shared" si="27"/>
        <v>105.01</v>
      </c>
      <c r="H406" t="str">
        <f t="shared" si="25"/>
        <v>Positive slope</v>
      </c>
    </row>
    <row r="407" spans="1:8" x14ac:dyDescent="0.2">
      <c r="A407" s="20">
        <v>41787</v>
      </c>
      <c r="B407">
        <v>103.37</v>
      </c>
      <c r="C407">
        <f t="shared" si="24"/>
        <v>101.88999999999999</v>
      </c>
      <c r="D407">
        <f t="shared" si="26"/>
        <v>99.6</v>
      </c>
      <c r="E407">
        <f t="shared" si="27"/>
        <v>105.01</v>
      </c>
      <c r="H407" t="str">
        <f t="shared" si="25"/>
        <v>Positive slope</v>
      </c>
    </row>
    <row r="408" spans="1:8" x14ac:dyDescent="0.2">
      <c r="A408" s="20">
        <v>41786</v>
      </c>
      <c r="B408">
        <v>104.78</v>
      </c>
      <c r="C408">
        <f t="shared" si="24"/>
        <v>101.78333333333333</v>
      </c>
      <c r="D408">
        <f t="shared" si="26"/>
        <v>98.43</v>
      </c>
      <c r="E408">
        <f t="shared" si="27"/>
        <v>105.01</v>
      </c>
      <c r="H408" t="str">
        <f t="shared" si="25"/>
        <v>Positive slope</v>
      </c>
    </row>
    <row r="409" spans="1:8" x14ac:dyDescent="0.2">
      <c r="A409" s="20">
        <v>41782</v>
      </c>
      <c r="B409">
        <v>105.01</v>
      </c>
      <c r="C409">
        <f t="shared" si="24"/>
        <v>101.59619047619046</v>
      </c>
      <c r="D409">
        <f t="shared" si="26"/>
        <v>98.43</v>
      </c>
      <c r="E409">
        <f t="shared" si="27"/>
        <v>105.01</v>
      </c>
      <c r="H409" t="str">
        <f t="shared" si="25"/>
        <v>Positive slope</v>
      </c>
    </row>
    <row r="410" spans="1:8" x14ac:dyDescent="0.2">
      <c r="A410" s="20">
        <v>41781</v>
      </c>
      <c r="B410">
        <v>104.03</v>
      </c>
      <c r="C410">
        <f t="shared" si="24"/>
        <v>101.46238095238093</v>
      </c>
      <c r="D410">
        <f t="shared" si="26"/>
        <v>98.43</v>
      </c>
      <c r="E410">
        <f t="shared" si="27"/>
        <v>104.35</v>
      </c>
      <c r="H410" t="str">
        <f t="shared" si="25"/>
        <v>Positive slope</v>
      </c>
    </row>
    <row r="411" spans="1:8" x14ac:dyDescent="0.2">
      <c r="A411" s="20">
        <v>41780</v>
      </c>
      <c r="B411">
        <v>104.31</v>
      </c>
      <c r="C411">
        <f t="shared" si="24"/>
        <v>101.34047619047617</v>
      </c>
      <c r="D411">
        <f t="shared" si="26"/>
        <v>98.29</v>
      </c>
      <c r="E411">
        <f t="shared" si="27"/>
        <v>104.35</v>
      </c>
      <c r="H411" t="str">
        <f t="shared" si="25"/>
        <v>Positive slope</v>
      </c>
    </row>
    <row r="412" spans="1:8" x14ac:dyDescent="0.2">
      <c r="A412" s="20">
        <v>41779</v>
      </c>
      <c r="B412">
        <v>102.8</v>
      </c>
      <c r="C412">
        <f t="shared" si="24"/>
        <v>101.21571428571427</v>
      </c>
      <c r="D412">
        <f t="shared" si="26"/>
        <v>98.29</v>
      </c>
      <c r="E412">
        <f t="shared" si="27"/>
        <v>104.35</v>
      </c>
      <c r="H412" t="str">
        <f t="shared" si="25"/>
        <v>Negative slope</v>
      </c>
    </row>
    <row r="413" spans="1:8" x14ac:dyDescent="0.2">
      <c r="A413" s="20">
        <v>41778</v>
      </c>
      <c r="B413">
        <v>102.95</v>
      </c>
      <c r="C413">
        <f t="shared" si="24"/>
        <v>101.28952380952379</v>
      </c>
      <c r="D413">
        <f t="shared" si="26"/>
        <v>98.29</v>
      </c>
      <c r="E413">
        <f t="shared" si="27"/>
        <v>104.35</v>
      </c>
      <c r="H413" t="str">
        <f t="shared" si="25"/>
        <v>Negative slope</v>
      </c>
    </row>
    <row r="414" spans="1:8" x14ac:dyDescent="0.2">
      <c r="A414" s="20">
        <v>41775</v>
      </c>
      <c r="B414">
        <v>102.31</v>
      </c>
      <c r="C414">
        <f t="shared" si="24"/>
        <v>101.35523809523808</v>
      </c>
      <c r="D414">
        <f t="shared" si="26"/>
        <v>98.29</v>
      </c>
      <c r="E414">
        <f t="shared" si="27"/>
        <v>104.35</v>
      </c>
      <c r="H414" t="str">
        <f t="shared" si="25"/>
        <v>Negative slope</v>
      </c>
    </row>
    <row r="415" spans="1:8" x14ac:dyDescent="0.2">
      <c r="A415" s="20">
        <v>41774</v>
      </c>
      <c r="B415">
        <v>101.74</v>
      </c>
      <c r="C415">
        <f t="shared" si="24"/>
        <v>101.42190476190474</v>
      </c>
      <c r="D415">
        <f t="shared" si="26"/>
        <v>98.29</v>
      </c>
      <c r="E415">
        <f t="shared" si="27"/>
        <v>104.35</v>
      </c>
      <c r="H415" t="str">
        <f t="shared" si="25"/>
        <v>Negative slope</v>
      </c>
    </row>
    <row r="416" spans="1:8" x14ac:dyDescent="0.2">
      <c r="A416" s="20">
        <v>41773</v>
      </c>
      <c r="B416">
        <v>102.63</v>
      </c>
      <c r="C416">
        <f t="shared" si="24"/>
        <v>101.51523809523808</v>
      </c>
      <c r="D416">
        <f t="shared" si="26"/>
        <v>98.29</v>
      </c>
      <c r="E416">
        <f t="shared" si="27"/>
        <v>104.35</v>
      </c>
      <c r="H416" t="str">
        <f t="shared" si="25"/>
        <v>Negative slope</v>
      </c>
    </row>
    <row r="417" spans="1:8" x14ac:dyDescent="0.2">
      <c r="A417" s="20">
        <v>41772</v>
      </c>
      <c r="B417">
        <v>102.01</v>
      </c>
      <c r="C417">
        <f t="shared" si="24"/>
        <v>101.58285714285714</v>
      </c>
      <c r="D417">
        <f t="shared" si="26"/>
        <v>98.29</v>
      </c>
      <c r="E417">
        <f t="shared" si="27"/>
        <v>104.35</v>
      </c>
      <c r="H417" t="str">
        <f t="shared" si="25"/>
        <v>Negative slope</v>
      </c>
    </row>
    <row r="418" spans="1:8" x14ac:dyDescent="0.2">
      <c r="A418" s="20">
        <v>41771</v>
      </c>
      <c r="B418">
        <v>100.89</v>
      </c>
      <c r="C418">
        <f t="shared" si="24"/>
        <v>101.66238095238093</v>
      </c>
      <c r="D418">
        <f t="shared" si="26"/>
        <v>98.29</v>
      </c>
      <c r="E418">
        <f t="shared" si="27"/>
        <v>105.34</v>
      </c>
      <c r="H418" t="str">
        <f t="shared" si="25"/>
        <v>Negative slope</v>
      </c>
    </row>
    <row r="419" spans="1:8" x14ac:dyDescent="0.2">
      <c r="A419" s="20">
        <v>41768</v>
      </c>
      <c r="B419">
        <v>100.32</v>
      </c>
      <c r="C419">
        <f t="shared" si="24"/>
        <v>101.78047619047618</v>
      </c>
      <c r="D419">
        <f t="shared" si="26"/>
        <v>98.29</v>
      </c>
      <c r="E419">
        <f t="shared" si="27"/>
        <v>105.34</v>
      </c>
      <c r="H419" t="str">
        <f t="shared" si="25"/>
        <v>Negative slope</v>
      </c>
    </row>
    <row r="420" spans="1:8" x14ac:dyDescent="0.2">
      <c r="A420" s="20">
        <v>41767</v>
      </c>
      <c r="B420">
        <v>100.52</v>
      </c>
      <c r="C420">
        <f t="shared" si="24"/>
        <v>101.93428571428574</v>
      </c>
      <c r="D420">
        <f t="shared" si="26"/>
        <v>98.29</v>
      </c>
      <c r="E420">
        <f t="shared" si="27"/>
        <v>105.34</v>
      </c>
      <c r="H420" t="str">
        <f t="shared" si="25"/>
        <v>Negative slope</v>
      </c>
    </row>
    <row r="421" spans="1:8" x14ac:dyDescent="0.2">
      <c r="A421" s="20">
        <v>41766</v>
      </c>
      <c r="B421">
        <v>101.06</v>
      </c>
      <c r="C421">
        <f t="shared" si="24"/>
        <v>102.03190476190477</v>
      </c>
      <c r="D421">
        <f t="shared" si="26"/>
        <v>98.29</v>
      </c>
      <c r="E421">
        <f t="shared" si="27"/>
        <v>105.34</v>
      </c>
      <c r="H421" t="str">
        <f t="shared" si="25"/>
        <v>Positive slope</v>
      </c>
    </row>
    <row r="422" spans="1:8" x14ac:dyDescent="0.2">
      <c r="A422" s="20">
        <v>41765</v>
      </c>
      <c r="B422">
        <v>99.81</v>
      </c>
      <c r="C422">
        <f t="shared" si="24"/>
        <v>102.00190476190475</v>
      </c>
      <c r="D422">
        <f t="shared" si="26"/>
        <v>98.29</v>
      </c>
      <c r="E422">
        <f t="shared" si="27"/>
        <v>105.34</v>
      </c>
      <c r="H422" t="str">
        <f t="shared" si="25"/>
        <v>Negative slope</v>
      </c>
    </row>
    <row r="423" spans="1:8" x14ac:dyDescent="0.2">
      <c r="A423" s="20">
        <v>41764</v>
      </c>
      <c r="B423">
        <v>99.74</v>
      </c>
      <c r="C423">
        <f t="shared" si="24"/>
        <v>102.06619047619047</v>
      </c>
      <c r="D423">
        <f t="shared" si="26"/>
        <v>98.29</v>
      </c>
      <c r="E423">
        <f t="shared" si="27"/>
        <v>105.34</v>
      </c>
      <c r="H423" t="str">
        <f t="shared" si="25"/>
        <v>Negative slope</v>
      </c>
    </row>
    <row r="424" spans="1:8" x14ac:dyDescent="0.2">
      <c r="A424" s="20">
        <v>41761</v>
      </c>
      <c r="B424">
        <v>100.09</v>
      </c>
      <c r="C424">
        <f t="shared" si="24"/>
        <v>102.09238095238095</v>
      </c>
      <c r="D424">
        <f t="shared" si="26"/>
        <v>98.29</v>
      </c>
      <c r="E424">
        <f t="shared" si="27"/>
        <v>105.34</v>
      </c>
      <c r="H424" t="str">
        <f t="shared" si="25"/>
        <v>Positive slope</v>
      </c>
    </row>
    <row r="425" spans="1:8" x14ac:dyDescent="0.2">
      <c r="A425" s="20">
        <v>41760</v>
      </c>
      <c r="B425">
        <v>99.69</v>
      </c>
      <c r="C425">
        <f t="shared" si="24"/>
        <v>102.06904761904764</v>
      </c>
      <c r="D425">
        <f t="shared" si="26"/>
        <v>98.29</v>
      </c>
      <c r="E425">
        <f t="shared" si="27"/>
        <v>105.34</v>
      </c>
      <c r="H425" t="str">
        <f t="shared" si="25"/>
        <v>Negative slope</v>
      </c>
    </row>
    <row r="426" spans="1:8" x14ac:dyDescent="0.2">
      <c r="A426" s="20">
        <v>41759</v>
      </c>
      <c r="B426">
        <v>100.07</v>
      </c>
      <c r="C426">
        <f t="shared" si="24"/>
        <v>102.06904761904764</v>
      </c>
      <c r="D426">
        <f t="shared" si="26"/>
        <v>98.29</v>
      </c>
      <c r="E426">
        <f t="shared" si="27"/>
        <v>105.34</v>
      </c>
      <c r="H426" t="str">
        <f t="shared" si="25"/>
        <v>Negative slope</v>
      </c>
    </row>
    <row r="427" spans="1:8" x14ac:dyDescent="0.2">
      <c r="A427" s="20">
        <v>41758</v>
      </c>
      <c r="B427">
        <v>101.56</v>
      </c>
      <c r="C427">
        <f t="shared" si="24"/>
        <v>102.14047619047621</v>
      </c>
      <c r="D427">
        <f t="shared" si="26"/>
        <v>98.29</v>
      </c>
      <c r="E427">
        <f t="shared" si="27"/>
        <v>105.34</v>
      </c>
      <c r="H427" t="str">
        <f t="shared" si="25"/>
        <v>Negative slope</v>
      </c>
    </row>
    <row r="428" spans="1:8" x14ac:dyDescent="0.2">
      <c r="A428" s="20">
        <v>41757</v>
      </c>
      <c r="B428">
        <v>101.13</v>
      </c>
      <c r="C428">
        <f t="shared" si="24"/>
        <v>102.14857142857143</v>
      </c>
      <c r="D428">
        <f t="shared" si="26"/>
        <v>98.29</v>
      </c>
      <c r="E428">
        <f t="shared" si="27"/>
        <v>105.34</v>
      </c>
      <c r="H428" t="str">
        <f t="shared" si="25"/>
        <v>Negative slope</v>
      </c>
    </row>
    <row r="429" spans="1:8" x14ac:dyDescent="0.2">
      <c r="A429" s="20">
        <v>41754</v>
      </c>
      <c r="B429">
        <v>100.85</v>
      </c>
      <c r="C429">
        <f t="shared" si="24"/>
        <v>102.15428571428571</v>
      </c>
      <c r="D429">
        <f t="shared" si="26"/>
        <v>98.29</v>
      </c>
      <c r="E429">
        <f t="shared" si="27"/>
        <v>105.34</v>
      </c>
      <c r="H429" t="str">
        <f t="shared" si="25"/>
        <v>Positive slope</v>
      </c>
    </row>
    <row r="430" spans="1:8" x14ac:dyDescent="0.2">
      <c r="A430" s="20">
        <v>41753</v>
      </c>
      <c r="B430">
        <v>102.2</v>
      </c>
      <c r="C430">
        <f t="shared" si="24"/>
        <v>102.14285714285714</v>
      </c>
      <c r="D430">
        <f t="shared" si="26"/>
        <v>98.29</v>
      </c>
      <c r="E430">
        <f t="shared" si="27"/>
        <v>105.34</v>
      </c>
      <c r="H430" t="str">
        <f t="shared" si="25"/>
        <v>Positive slope</v>
      </c>
    </row>
    <row r="431" spans="1:8" x14ac:dyDescent="0.2">
      <c r="A431" s="20">
        <v>41752</v>
      </c>
      <c r="B431">
        <v>101.47</v>
      </c>
      <c r="C431">
        <f t="shared" si="24"/>
        <v>102.02190476190476</v>
      </c>
      <c r="D431">
        <f t="shared" si="26"/>
        <v>98.29</v>
      </c>
      <c r="E431">
        <f t="shared" si="27"/>
        <v>105.34</v>
      </c>
      <c r="H431" t="str">
        <f t="shared" si="25"/>
        <v>Positive slope</v>
      </c>
    </row>
    <row r="432" spans="1:8" x14ac:dyDescent="0.2">
      <c r="A432" s="20">
        <v>41751</v>
      </c>
      <c r="B432">
        <v>101.69</v>
      </c>
      <c r="C432">
        <f t="shared" si="24"/>
        <v>101.95428571428572</v>
      </c>
      <c r="D432">
        <f t="shared" si="26"/>
        <v>98.29</v>
      </c>
      <c r="E432">
        <f t="shared" si="27"/>
        <v>105.34</v>
      </c>
      <c r="H432" t="str">
        <f t="shared" si="25"/>
        <v>Positive slope</v>
      </c>
    </row>
    <row r="433" spans="1:8" x14ac:dyDescent="0.2">
      <c r="A433" s="20">
        <v>41750</v>
      </c>
      <c r="B433">
        <v>104.35</v>
      </c>
      <c r="C433">
        <f t="shared" si="24"/>
        <v>101.87238095238094</v>
      </c>
      <c r="D433">
        <f t="shared" si="26"/>
        <v>98.29</v>
      </c>
      <c r="E433">
        <f t="shared" si="27"/>
        <v>105.34</v>
      </c>
      <c r="H433" t="str">
        <f t="shared" si="25"/>
        <v>Positive slope</v>
      </c>
    </row>
    <row r="434" spans="1:8" x14ac:dyDescent="0.2">
      <c r="A434" s="20">
        <v>41746</v>
      </c>
      <c r="B434">
        <v>104.33</v>
      </c>
      <c r="C434">
        <f t="shared" si="24"/>
        <v>101.65</v>
      </c>
      <c r="D434">
        <f t="shared" si="26"/>
        <v>97.84</v>
      </c>
      <c r="E434">
        <f t="shared" si="27"/>
        <v>105.34</v>
      </c>
      <c r="H434" t="str">
        <f t="shared" si="25"/>
        <v>Positive slope</v>
      </c>
    </row>
    <row r="435" spans="1:8" x14ac:dyDescent="0.2">
      <c r="A435" s="20">
        <v>41745</v>
      </c>
      <c r="B435">
        <v>103.71</v>
      </c>
      <c r="C435">
        <f t="shared" si="24"/>
        <v>101.47761904761903</v>
      </c>
      <c r="D435">
        <f t="shared" si="26"/>
        <v>97.4</v>
      </c>
      <c r="E435">
        <f t="shared" si="27"/>
        <v>105.34</v>
      </c>
      <c r="H435" t="str">
        <f t="shared" si="25"/>
        <v>Positive slope</v>
      </c>
    </row>
    <row r="436" spans="1:8" x14ac:dyDescent="0.2">
      <c r="A436" s="20">
        <v>41744</v>
      </c>
      <c r="B436">
        <v>103.7</v>
      </c>
      <c r="C436">
        <f t="shared" si="24"/>
        <v>101.3047619047619</v>
      </c>
      <c r="D436">
        <f t="shared" si="26"/>
        <v>97.24</v>
      </c>
      <c r="E436">
        <f t="shared" si="27"/>
        <v>105.34</v>
      </c>
      <c r="H436" t="str">
        <f t="shared" si="25"/>
        <v>Positive slope</v>
      </c>
    </row>
    <row r="437" spans="1:8" x14ac:dyDescent="0.2">
      <c r="A437" s="20">
        <v>41743</v>
      </c>
      <c r="B437">
        <v>104.05</v>
      </c>
      <c r="C437">
        <f t="shared" si="24"/>
        <v>101.05380952380953</v>
      </c>
      <c r="D437">
        <f t="shared" si="26"/>
        <v>96.44</v>
      </c>
      <c r="E437">
        <f t="shared" si="27"/>
        <v>105.34</v>
      </c>
      <c r="H437" t="str">
        <f t="shared" si="25"/>
        <v>Positive slope</v>
      </c>
    </row>
    <row r="438" spans="1:8" x14ac:dyDescent="0.2">
      <c r="A438" s="20">
        <v>41740</v>
      </c>
      <c r="B438">
        <v>103.68</v>
      </c>
      <c r="C438">
        <f t="shared" si="24"/>
        <v>100.82428571428571</v>
      </c>
      <c r="D438">
        <f t="shared" si="26"/>
        <v>96.44</v>
      </c>
      <c r="E438">
        <f t="shared" si="27"/>
        <v>105.34</v>
      </c>
      <c r="H438" t="str">
        <f t="shared" si="25"/>
        <v>Positive slope</v>
      </c>
    </row>
    <row r="439" spans="1:8" x14ac:dyDescent="0.2">
      <c r="A439" s="20">
        <v>41739</v>
      </c>
      <c r="B439">
        <v>103.37</v>
      </c>
      <c r="C439">
        <f t="shared" si="24"/>
        <v>100.5809523809524</v>
      </c>
      <c r="D439">
        <f t="shared" si="26"/>
        <v>96.44</v>
      </c>
      <c r="E439">
        <f t="shared" si="27"/>
        <v>105.34</v>
      </c>
      <c r="H439" t="str">
        <f t="shared" si="25"/>
        <v>Positive slope</v>
      </c>
    </row>
    <row r="440" spans="1:8" x14ac:dyDescent="0.2">
      <c r="A440" s="20">
        <v>41738</v>
      </c>
      <c r="B440">
        <v>103.55</v>
      </c>
      <c r="C440">
        <f t="shared" si="24"/>
        <v>100.33904761904762</v>
      </c>
      <c r="D440">
        <f t="shared" si="26"/>
        <v>96.44</v>
      </c>
      <c r="E440">
        <f t="shared" si="27"/>
        <v>105.34</v>
      </c>
      <c r="H440" t="str">
        <f t="shared" si="25"/>
        <v>Positive slope</v>
      </c>
    </row>
    <row r="441" spans="1:8" x14ac:dyDescent="0.2">
      <c r="A441" s="20">
        <v>41737</v>
      </c>
      <c r="B441">
        <v>102.57</v>
      </c>
      <c r="C441">
        <f t="shared" si="24"/>
        <v>100.18380952380953</v>
      </c>
      <c r="D441">
        <f t="shared" si="26"/>
        <v>96.44</v>
      </c>
      <c r="E441">
        <f t="shared" si="27"/>
        <v>105.34</v>
      </c>
      <c r="H441" t="str">
        <f t="shared" si="25"/>
        <v>Positive slope</v>
      </c>
    </row>
    <row r="442" spans="1:8" x14ac:dyDescent="0.2">
      <c r="A442" s="20">
        <v>41736</v>
      </c>
      <c r="B442">
        <v>100.43</v>
      </c>
      <c r="C442">
        <f t="shared" si="24"/>
        <v>100.12761904761904</v>
      </c>
      <c r="D442">
        <f t="shared" si="26"/>
        <v>95.82</v>
      </c>
      <c r="E442">
        <f t="shared" si="27"/>
        <v>105.34</v>
      </c>
      <c r="H442" t="str">
        <f t="shared" si="25"/>
        <v>Negative slope</v>
      </c>
    </row>
    <row r="443" spans="1:8" x14ac:dyDescent="0.2">
      <c r="A443" s="20">
        <v>41733</v>
      </c>
      <c r="B443">
        <v>101.16</v>
      </c>
      <c r="C443">
        <f t="shared" si="24"/>
        <v>100.24142857142859</v>
      </c>
      <c r="D443">
        <f t="shared" si="26"/>
        <v>95.82</v>
      </c>
      <c r="E443">
        <f t="shared" si="27"/>
        <v>105.34</v>
      </c>
      <c r="H443" t="str">
        <f t="shared" si="25"/>
        <v>Negative slope</v>
      </c>
    </row>
    <row r="444" spans="1:8" x14ac:dyDescent="0.2">
      <c r="A444" s="20">
        <v>41732</v>
      </c>
      <c r="B444">
        <v>100.29</v>
      </c>
      <c r="C444">
        <f t="shared" si="24"/>
        <v>100.27285714285715</v>
      </c>
      <c r="D444">
        <f t="shared" si="26"/>
        <v>95.82</v>
      </c>
      <c r="E444">
        <f t="shared" si="27"/>
        <v>105.34</v>
      </c>
      <c r="H444" t="str">
        <f t="shared" si="25"/>
        <v>Negative slope</v>
      </c>
    </row>
    <row r="445" spans="1:8" x14ac:dyDescent="0.2">
      <c r="A445" s="20">
        <v>41731</v>
      </c>
      <c r="B445">
        <v>99.6</v>
      </c>
      <c r="C445">
        <f t="shared" si="24"/>
        <v>100.34238095238094</v>
      </c>
      <c r="D445">
        <f t="shared" si="26"/>
        <v>95.82</v>
      </c>
      <c r="E445">
        <f t="shared" si="27"/>
        <v>105.34</v>
      </c>
      <c r="H445" t="str">
        <f t="shared" si="25"/>
        <v>Negative slope</v>
      </c>
    </row>
    <row r="446" spans="1:8" x14ac:dyDescent="0.2">
      <c r="A446" s="20">
        <v>41730</v>
      </c>
      <c r="B446">
        <v>99.69</v>
      </c>
      <c r="C446">
        <f t="shared" si="24"/>
        <v>100.53476190476191</v>
      </c>
      <c r="D446">
        <f t="shared" si="26"/>
        <v>94.51</v>
      </c>
      <c r="E446">
        <f t="shared" si="27"/>
        <v>105.34</v>
      </c>
      <c r="H446" t="str">
        <f t="shared" si="25"/>
        <v>Negative slope</v>
      </c>
    </row>
    <row r="447" spans="1:8" x14ac:dyDescent="0.2">
      <c r="A447" s="20">
        <v>41729</v>
      </c>
      <c r="B447">
        <v>101.57</v>
      </c>
      <c r="C447">
        <f t="shared" si="24"/>
        <v>100.80380952380953</v>
      </c>
      <c r="D447">
        <f t="shared" si="26"/>
        <v>93.96</v>
      </c>
      <c r="E447">
        <f t="shared" si="27"/>
        <v>105.34</v>
      </c>
      <c r="H447" t="str">
        <f t="shared" si="25"/>
        <v>Negative slope</v>
      </c>
    </row>
    <row r="448" spans="1:8" x14ac:dyDescent="0.2">
      <c r="A448" s="20">
        <v>41726</v>
      </c>
      <c r="B448">
        <v>101.73</v>
      </c>
      <c r="C448">
        <f t="shared" si="24"/>
        <v>100.86619047619048</v>
      </c>
      <c r="D448">
        <f t="shared" si="26"/>
        <v>93.54</v>
      </c>
      <c r="E448">
        <f t="shared" si="27"/>
        <v>105.34</v>
      </c>
      <c r="H448" t="str">
        <f t="shared" si="25"/>
        <v>Negative slope</v>
      </c>
    </row>
    <row r="449" spans="1:8" x14ac:dyDescent="0.2">
      <c r="A449" s="20">
        <v>41725</v>
      </c>
      <c r="B449">
        <v>101.25</v>
      </c>
      <c r="C449">
        <f t="shared" si="24"/>
        <v>100.91142857142856</v>
      </c>
      <c r="D449">
        <f t="shared" si="26"/>
        <v>93.54</v>
      </c>
      <c r="E449">
        <f t="shared" si="27"/>
        <v>105.34</v>
      </c>
      <c r="H449" t="str">
        <f t="shared" si="25"/>
        <v>Negative slope</v>
      </c>
    </row>
    <row r="450" spans="1:8" x14ac:dyDescent="0.2">
      <c r="A450" s="20">
        <v>41724</v>
      </c>
      <c r="B450">
        <v>100.61</v>
      </c>
      <c r="C450">
        <f t="shared" ref="C450:C507" si="28">AVERAGE(B450:B470)</f>
        <v>100.99142857142859</v>
      </c>
      <c r="D450">
        <f t="shared" si="26"/>
        <v>92.15</v>
      </c>
      <c r="E450">
        <f t="shared" si="27"/>
        <v>105.34</v>
      </c>
      <c r="H450" t="str">
        <f t="shared" ref="H450:H507" si="29">IF((C450-C451)&gt;0, "Positive slope", "Negative slope")</f>
        <v>Negative slope</v>
      </c>
    </row>
    <row r="451" spans="1:8" x14ac:dyDescent="0.2">
      <c r="A451" s="20">
        <v>41723</v>
      </c>
      <c r="B451">
        <v>99.66</v>
      </c>
      <c r="C451">
        <f t="shared" si="28"/>
        <v>101.06714285714285</v>
      </c>
      <c r="D451">
        <f t="shared" ref="D451:D507" si="30">MIN(B451:B500)</f>
        <v>91.45</v>
      </c>
      <c r="E451">
        <f t="shared" ref="E451:E507" si="31">MAX(B451:B500)</f>
        <v>105.34</v>
      </c>
      <c r="H451" t="str">
        <f t="shared" si="29"/>
        <v>Negative slope</v>
      </c>
    </row>
    <row r="452" spans="1:8" x14ac:dyDescent="0.2">
      <c r="A452" s="20">
        <v>41722</v>
      </c>
      <c r="B452">
        <v>100.05</v>
      </c>
      <c r="C452">
        <f t="shared" si="28"/>
        <v>101.23428571428572</v>
      </c>
      <c r="D452">
        <f t="shared" si="30"/>
        <v>91.45</v>
      </c>
      <c r="E452">
        <f t="shared" si="31"/>
        <v>105.34</v>
      </c>
      <c r="H452" t="str">
        <f t="shared" si="29"/>
        <v>Negative slope</v>
      </c>
    </row>
    <row r="453" spans="1:8" x14ac:dyDescent="0.2">
      <c r="A453" s="20">
        <v>41719</v>
      </c>
      <c r="B453">
        <v>99.97</v>
      </c>
      <c r="C453">
        <f t="shared" si="28"/>
        <v>101.35238095238095</v>
      </c>
      <c r="D453">
        <f t="shared" si="30"/>
        <v>91.36</v>
      </c>
      <c r="E453">
        <f t="shared" si="31"/>
        <v>105.34</v>
      </c>
      <c r="H453" t="str">
        <f t="shared" si="29"/>
        <v>Negative slope</v>
      </c>
    </row>
    <row r="454" spans="1:8" x14ac:dyDescent="0.2">
      <c r="A454" s="20">
        <v>41718</v>
      </c>
      <c r="B454">
        <v>99.68</v>
      </c>
      <c r="C454">
        <f t="shared" si="28"/>
        <v>101.50619047619048</v>
      </c>
      <c r="D454">
        <f t="shared" si="30"/>
        <v>91.36</v>
      </c>
      <c r="E454">
        <f t="shared" si="31"/>
        <v>105.34</v>
      </c>
      <c r="H454" t="str">
        <f t="shared" si="29"/>
        <v>Negative slope</v>
      </c>
    </row>
    <row r="455" spans="1:8" x14ac:dyDescent="0.2">
      <c r="A455" s="20">
        <v>41717</v>
      </c>
      <c r="B455">
        <v>100.71</v>
      </c>
      <c r="C455">
        <f t="shared" si="28"/>
        <v>101.68619047619048</v>
      </c>
      <c r="D455">
        <f t="shared" si="30"/>
        <v>91.36</v>
      </c>
      <c r="E455">
        <f t="shared" si="31"/>
        <v>105.34</v>
      </c>
      <c r="H455" t="str">
        <f t="shared" si="29"/>
        <v>Negative slope</v>
      </c>
    </row>
    <row r="456" spans="1:8" x14ac:dyDescent="0.2">
      <c r="A456" s="20">
        <v>41716</v>
      </c>
      <c r="B456">
        <v>100.08</v>
      </c>
      <c r="C456">
        <f t="shared" si="28"/>
        <v>101.77333333333334</v>
      </c>
      <c r="D456">
        <f t="shared" si="30"/>
        <v>91.36</v>
      </c>
      <c r="E456">
        <f t="shared" si="31"/>
        <v>105.34</v>
      </c>
      <c r="H456" t="str">
        <f t="shared" si="29"/>
        <v>Negative slope</v>
      </c>
    </row>
    <row r="457" spans="1:8" x14ac:dyDescent="0.2">
      <c r="A457" s="20">
        <v>41715</v>
      </c>
      <c r="B457">
        <v>98.43</v>
      </c>
      <c r="C457">
        <f t="shared" si="28"/>
        <v>101.78428571428573</v>
      </c>
      <c r="D457">
        <f t="shared" si="30"/>
        <v>91.36</v>
      </c>
      <c r="E457">
        <f t="shared" si="31"/>
        <v>105.34</v>
      </c>
      <c r="H457" t="str">
        <f t="shared" si="29"/>
        <v>Negative slope</v>
      </c>
    </row>
    <row r="458" spans="1:8" x14ac:dyDescent="0.2">
      <c r="A458" s="20">
        <v>41712</v>
      </c>
      <c r="B458">
        <v>99.23</v>
      </c>
      <c r="C458">
        <f t="shared" si="28"/>
        <v>101.87190476190479</v>
      </c>
      <c r="D458">
        <f t="shared" si="30"/>
        <v>91.36</v>
      </c>
      <c r="E458">
        <f t="shared" si="31"/>
        <v>105.34</v>
      </c>
      <c r="H458" t="str">
        <f t="shared" si="29"/>
        <v>Negative slope</v>
      </c>
    </row>
    <row r="459" spans="1:8" x14ac:dyDescent="0.2">
      <c r="A459" s="20">
        <v>41711</v>
      </c>
      <c r="B459">
        <v>98.57</v>
      </c>
      <c r="C459">
        <f t="shared" si="28"/>
        <v>101.92666666666666</v>
      </c>
      <c r="D459">
        <f t="shared" si="30"/>
        <v>91.36</v>
      </c>
      <c r="E459">
        <f t="shared" si="31"/>
        <v>105.34</v>
      </c>
      <c r="H459" t="str">
        <f t="shared" si="29"/>
        <v>Negative slope</v>
      </c>
    </row>
    <row r="460" spans="1:8" x14ac:dyDescent="0.2">
      <c r="A460" s="20">
        <v>41710</v>
      </c>
      <c r="B460">
        <v>98.29</v>
      </c>
      <c r="C460">
        <f t="shared" si="28"/>
        <v>101.99285714285716</v>
      </c>
      <c r="D460">
        <f t="shared" si="30"/>
        <v>91.36</v>
      </c>
      <c r="E460">
        <f t="shared" si="31"/>
        <v>105.34</v>
      </c>
      <c r="H460" t="str">
        <f t="shared" si="29"/>
        <v>Negative slope</v>
      </c>
    </row>
    <row r="461" spans="1:8" x14ac:dyDescent="0.2">
      <c r="A461" s="20">
        <v>41709</v>
      </c>
      <c r="B461">
        <v>100.29</v>
      </c>
      <c r="C461">
        <f t="shared" si="28"/>
        <v>102.08000000000001</v>
      </c>
      <c r="D461">
        <f t="shared" si="30"/>
        <v>91.36</v>
      </c>
      <c r="E461">
        <f t="shared" si="31"/>
        <v>105.34</v>
      </c>
      <c r="H461" t="str">
        <f t="shared" si="29"/>
        <v>Positive slope</v>
      </c>
    </row>
    <row r="462" spans="1:8" x14ac:dyDescent="0.2">
      <c r="A462" s="20">
        <v>41708</v>
      </c>
      <c r="B462">
        <v>101.39</v>
      </c>
      <c r="C462">
        <f t="shared" si="28"/>
        <v>102.06523809523809</v>
      </c>
      <c r="D462">
        <f t="shared" si="30"/>
        <v>91.36</v>
      </c>
      <c r="E462">
        <f t="shared" si="31"/>
        <v>105.34</v>
      </c>
      <c r="H462" t="str">
        <f t="shared" si="29"/>
        <v>Positive slope</v>
      </c>
    </row>
    <row r="463" spans="1:8" x14ac:dyDescent="0.2">
      <c r="A463" s="20">
        <v>41705</v>
      </c>
      <c r="B463">
        <v>102.82</v>
      </c>
      <c r="C463">
        <f t="shared" si="28"/>
        <v>101.89619047619048</v>
      </c>
      <c r="D463">
        <f t="shared" si="30"/>
        <v>91.36</v>
      </c>
      <c r="E463">
        <f t="shared" si="31"/>
        <v>105.34</v>
      </c>
      <c r="H463" t="str">
        <f t="shared" si="29"/>
        <v>Positive slope</v>
      </c>
    </row>
    <row r="464" spans="1:8" x14ac:dyDescent="0.2">
      <c r="A464" s="20">
        <v>41704</v>
      </c>
      <c r="B464">
        <v>101.82</v>
      </c>
      <c r="C464">
        <f t="shared" si="28"/>
        <v>101.63809523809522</v>
      </c>
      <c r="D464">
        <f t="shared" si="30"/>
        <v>91.36</v>
      </c>
      <c r="E464">
        <f t="shared" si="31"/>
        <v>105.34</v>
      </c>
      <c r="H464" t="str">
        <f t="shared" si="29"/>
        <v>Positive slope</v>
      </c>
    </row>
    <row r="465" spans="1:8" x14ac:dyDescent="0.2">
      <c r="A465" s="20">
        <v>41703</v>
      </c>
      <c r="B465">
        <v>101.75</v>
      </c>
      <c r="C465">
        <f t="shared" si="28"/>
        <v>101.41999999999999</v>
      </c>
      <c r="D465">
        <f t="shared" si="30"/>
        <v>91.36</v>
      </c>
      <c r="E465">
        <f t="shared" si="31"/>
        <v>105.34</v>
      </c>
      <c r="H465" t="str">
        <f t="shared" si="29"/>
        <v>Positive slope</v>
      </c>
    </row>
    <row r="466" spans="1:8" x14ac:dyDescent="0.2">
      <c r="A466" s="20">
        <v>41702</v>
      </c>
      <c r="B466">
        <v>103.64</v>
      </c>
      <c r="C466">
        <f t="shared" si="28"/>
        <v>101.16714285714285</v>
      </c>
      <c r="D466">
        <f t="shared" si="30"/>
        <v>91.36</v>
      </c>
      <c r="E466">
        <f t="shared" si="31"/>
        <v>105.34</v>
      </c>
      <c r="H466" t="str">
        <f t="shared" si="29"/>
        <v>Positive slope</v>
      </c>
    </row>
    <row r="467" spans="1:8" x14ac:dyDescent="0.2">
      <c r="A467" s="20">
        <v>41701</v>
      </c>
      <c r="B467">
        <v>105.34</v>
      </c>
      <c r="C467">
        <f t="shared" si="28"/>
        <v>100.87714285714286</v>
      </c>
      <c r="D467">
        <f t="shared" si="30"/>
        <v>91.36</v>
      </c>
      <c r="E467">
        <f t="shared" si="31"/>
        <v>105.34</v>
      </c>
      <c r="H467" t="str">
        <f t="shared" si="29"/>
        <v>Positive slope</v>
      </c>
    </row>
    <row r="468" spans="1:8" x14ac:dyDescent="0.2">
      <c r="A468" s="20">
        <v>41698</v>
      </c>
      <c r="B468">
        <v>102.88</v>
      </c>
      <c r="C468">
        <f t="shared" si="28"/>
        <v>100.5395238095238</v>
      </c>
      <c r="D468">
        <f t="shared" si="30"/>
        <v>91.36</v>
      </c>
      <c r="E468">
        <f t="shared" si="31"/>
        <v>103.46</v>
      </c>
      <c r="H468" t="str">
        <f t="shared" si="29"/>
        <v>Positive slope</v>
      </c>
    </row>
    <row r="469" spans="1:8" x14ac:dyDescent="0.2">
      <c r="A469" s="20">
        <v>41697</v>
      </c>
      <c r="B469">
        <v>102.68</v>
      </c>
      <c r="C469">
        <f t="shared" si="28"/>
        <v>100.27571428571429</v>
      </c>
      <c r="D469">
        <f t="shared" si="30"/>
        <v>91.36</v>
      </c>
      <c r="E469">
        <f t="shared" si="31"/>
        <v>103.46</v>
      </c>
      <c r="H469" t="str">
        <f t="shared" si="29"/>
        <v>Positive slope</v>
      </c>
    </row>
    <row r="470" spans="1:8" x14ac:dyDescent="0.2">
      <c r="A470" s="20">
        <v>41696</v>
      </c>
      <c r="B470">
        <v>102.93</v>
      </c>
      <c r="C470">
        <f t="shared" si="28"/>
        <v>100.02857142857142</v>
      </c>
      <c r="D470">
        <f t="shared" si="30"/>
        <v>91.36</v>
      </c>
      <c r="E470">
        <f t="shared" si="31"/>
        <v>103.46</v>
      </c>
      <c r="H470" t="str">
        <f t="shared" si="29"/>
        <v>Positive slope</v>
      </c>
    </row>
    <row r="471" spans="1:8" x14ac:dyDescent="0.2">
      <c r="A471" s="20">
        <v>41695</v>
      </c>
      <c r="B471">
        <v>102.2</v>
      </c>
      <c r="C471">
        <f t="shared" si="28"/>
        <v>99.689999999999984</v>
      </c>
      <c r="D471">
        <f t="shared" si="30"/>
        <v>91.36</v>
      </c>
      <c r="E471">
        <f t="shared" si="31"/>
        <v>103.46</v>
      </c>
      <c r="H471" t="str">
        <f t="shared" si="29"/>
        <v>Positive slope</v>
      </c>
    </row>
    <row r="472" spans="1:8" x14ac:dyDescent="0.2">
      <c r="A472" s="20">
        <v>41694</v>
      </c>
      <c r="B472">
        <v>103.17</v>
      </c>
      <c r="C472">
        <f t="shared" si="28"/>
        <v>99.42619047619047</v>
      </c>
      <c r="D472">
        <f t="shared" si="30"/>
        <v>91.36</v>
      </c>
      <c r="E472">
        <f t="shared" si="31"/>
        <v>103.46</v>
      </c>
      <c r="H472" t="str">
        <f t="shared" si="29"/>
        <v>Positive slope</v>
      </c>
    </row>
    <row r="473" spans="1:8" x14ac:dyDescent="0.2">
      <c r="A473" s="20">
        <v>41691</v>
      </c>
      <c r="B473">
        <v>102.53</v>
      </c>
      <c r="C473">
        <f t="shared" si="28"/>
        <v>99.143333333333317</v>
      </c>
      <c r="D473">
        <f t="shared" si="30"/>
        <v>91.36</v>
      </c>
      <c r="E473">
        <f t="shared" si="31"/>
        <v>103.46</v>
      </c>
      <c r="H473" t="str">
        <f t="shared" si="29"/>
        <v>Positive slope</v>
      </c>
    </row>
    <row r="474" spans="1:8" x14ac:dyDescent="0.2">
      <c r="A474" s="20">
        <v>41690</v>
      </c>
      <c r="B474">
        <v>103.2</v>
      </c>
      <c r="C474">
        <f t="shared" si="28"/>
        <v>98.84904761904761</v>
      </c>
      <c r="D474">
        <f t="shared" si="30"/>
        <v>91.36</v>
      </c>
      <c r="E474">
        <f t="shared" si="31"/>
        <v>103.46</v>
      </c>
      <c r="H474" t="str">
        <f t="shared" si="29"/>
        <v>Positive slope</v>
      </c>
    </row>
    <row r="475" spans="1:8" x14ac:dyDescent="0.2">
      <c r="A475" s="20">
        <v>41689</v>
      </c>
      <c r="B475">
        <v>103.46</v>
      </c>
      <c r="C475">
        <f t="shared" si="28"/>
        <v>98.435238095238091</v>
      </c>
      <c r="D475">
        <f t="shared" si="30"/>
        <v>91.36</v>
      </c>
      <c r="E475">
        <f t="shared" si="31"/>
        <v>103.46</v>
      </c>
      <c r="H475" t="str">
        <f t="shared" si="29"/>
        <v>Positive slope</v>
      </c>
    </row>
    <row r="476" spans="1:8" x14ac:dyDescent="0.2">
      <c r="A476" s="20">
        <v>41688</v>
      </c>
      <c r="B476">
        <v>102.54</v>
      </c>
      <c r="C476">
        <f t="shared" si="28"/>
        <v>97.982857142857142</v>
      </c>
      <c r="D476">
        <f t="shared" si="30"/>
        <v>91.36</v>
      </c>
      <c r="E476">
        <f t="shared" si="31"/>
        <v>102.54</v>
      </c>
      <c r="H476" t="str">
        <f t="shared" si="29"/>
        <v>Positive slope</v>
      </c>
    </row>
    <row r="477" spans="1:8" x14ac:dyDescent="0.2">
      <c r="A477" s="20">
        <v>41684</v>
      </c>
      <c r="B477">
        <v>100.31</v>
      </c>
      <c r="C477">
        <f t="shared" si="28"/>
        <v>97.554285714285712</v>
      </c>
      <c r="D477">
        <f t="shared" si="30"/>
        <v>91.36</v>
      </c>
      <c r="E477">
        <f t="shared" si="31"/>
        <v>100.38</v>
      </c>
      <c r="H477" t="str">
        <f t="shared" si="29"/>
        <v>Positive slope</v>
      </c>
    </row>
    <row r="478" spans="1:8" x14ac:dyDescent="0.2">
      <c r="A478" s="20">
        <v>41683</v>
      </c>
      <c r="B478">
        <v>100.27</v>
      </c>
      <c r="C478">
        <f t="shared" si="28"/>
        <v>97.243333333333311</v>
      </c>
      <c r="D478">
        <f t="shared" si="30"/>
        <v>91.36</v>
      </c>
      <c r="E478">
        <f t="shared" si="31"/>
        <v>100.38</v>
      </c>
      <c r="H478" t="str">
        <f t="shared" si="29"/>
        <v>Positive slope</v>
      </c>
    </row>
    <row r="479" spans="1:8" x14ac:dyDescent="0.2">
      <c r="A479" s="20">
        <v>41682</v>
      </c>
      <c r="B479">
        <v>100.38</v>
      </c>
      <c r="C479">
        <f t="shared" si="28"/>
        <v>96.856666666666655</v>
      </c>
      <c r="D479">
        <f t="shared" si="30"/>
        <v>91.36</v>
      </c>
      <c r="E479">
        <f t="shared" si="31"/>
        <v>100.38</v>
      </c>
      <c r="H479" t="str">
        <f t="shared" si="29"/>
        <v>Positive slope</v>
      </c>
    </row>
    <row r="480" spans="1:8" x14ac:dyDescent="0.2">
      <c r="A480" s="20">
        <v>41681</v>
      </c>
      <c r="B480">
        <v>99.96</v>
      </c>
      <c r="C480">
        <f t="shared" si="28"/>
        <v>96.431428571428569</v>
      </c>
      <c r="D480">
        <f t="shared" si="30"/>
        <v>91.36</v>
      </c>
      <c r="E480">
        <f t="shared" si="31"/>
        <v>100.12</v>
      </c>
      <c r="H480" t="str">
        <f t="shared" si="29"/>
        <v>Positive slope</v>
      </c>
    </row>
    <row r="481" spans="1:8" x14ac:dyDescent="0.2">
      <c r="A481" s="20">
        <v>41680</v>
      </c>
      <c r="B481">
        <v>100.12</v>
      </c>
      <c r="C481">
        <f t="shared" si="28"/>
        <v>96.070952380952392</v>
      </c>
      <c r="D481">
        <f t="shared" si="30"/>
        <v>91.36</v>
      </c>
      <c r="E481">
        <f t="shared" si="31"/>
        <v>100.12</v>
      </c>
      <c r="H481" t="str">
        <f t="shared" si="29"/>
        <v>Positive slope</v>
      </c>
    </row>
    <row r="482" spans="1:8" x14ac:dyDescent="0.2">
      <c r="A482" s="20">
        <v>41677</v>
      </c>
      <c r="B482">
        <v>99.98</v>
      </c>
      <c r="C482">
        <f t="shared" si="28"/>
        <v>95.653809523809542</v>
      </c>
      <c r="D482">
        <f t="shared" si="30"/>
        <v>91.36</v>
      </c>
      <c r="E482">
        <f t="shared" si="31"/>
        <v>99.98</v>
      </c>
      <c r="H482" t="str">
        <f t="shared" si="29"/>
        <v>Positive slope</v>
      </c>
    </row>
    <row r="483" spans="1:8" x14ac:dyDescent="0.2">
      <c r="A483" s="20">
        <v>41676</v>
      </c>
      <c r="B483">
        <v>97.84</v>
      </c>
      <c r="C483">
        <f t="shared" si="28"/>
        <v>95.269047619047626</v>
      </c>
      <c r="D483">
        <f t="shared" si="30"/>
        <v>91.36</v>
      </c>
      <c r="E483">
        <f t="shared" si="31"/>
        <v>98.25</v>
      </c>
      <c r="H483" t="str">
        <f t="shared" si="29"/>
        <v>Positive slope</v>
      </c>
    </row>
    <row r="484" spans="1:8" x14ac:dyDescent="0.2">
      <c r="A484" s="20">
        <v>41675</v>
      </c>
      <c r="B484">
        <v>97.4</v>
      </c>
      <c r="C484">
        <f t="shared" si="28"/>
        <v>95.053333333333342</v>
      </c>
      <c r="D484">
        <f t="shared" si="30"/>
        <v>91.36</v>
      </c>
      <c r="E484">
        <f t="shared" si="31"/>
        <v>98.25</v>
      </c>
      <c r="H484" t="str">
        <f t="shared" si="29"/>
        <v>Positive slope</v>
      </c>
    </row>
    <row r="485" spans="1:8" x14ac:dyDescent="0.2">
      <c r="A485" s="20">
        <v>41674</v>
      </c>
      <c r="B485">
        <v>97.24</v>
      </c>
      <c r="C485">
        <f t="shared" si="28"/>
        <v>94.849523809523816</v>
      </c>
      <c r="D485">
        <f t="shared" si="30"/>
        <v>91.36</v>
      </c>
      <c r="E485">
        <f t="shared" si="31"/>
        <v>98.25</v>
      </c>
      <c r="H485" t="str">
        <f t="shared" si="29"/>
        <v>Positive slope</v>
      </c>
    </row>
    <row r="486" spans="1:8" x14ac:dyDescent="0.2">
      <c r="A486" s="20">
        <v>41673</v>
      </c>
      <c r="B486">
        <v>96.44</v>
      </c>
      <c r="C486">
        <f t="shared" si="28"/>
        <v>94.679047619047637</v>
      </c>
      <c r="D486">
        <f t="shared" si="30"/>
        <v>91.36</v>
      </c>
      <c r="E486">
        <f t="shared" si="31"/>
        <v>98.25</v>
      </c>
      <c r="H486" t="str">
        <f t="shared" si="29"/>
        <v>Positive slope</v>
      </c>
    </row>
    <row r="487" spans="1:8" x14ac:dyDescent="0.2">
      <c r="A487" s="20">
        <v>41670</v>
      </c>
      <c r="B487">
        <v>97.55</v>
      </c>
      <c r="C487">
        <f t="shared" si="28"/>
        <v>94.617142857142881</v>
      </c>
      <c r="D487">
        <f t="shared" si="30"/>
        <v>91.36</v>
      </c>
      <c r="E487">
        <f t="shared" si="31"/>
        <v>98.25</v>
      </c>
      <c r="H487" t="str">
        <f t="shared" si="29"/>
        <v>Positive slope</v>
      </c>
    </row>
    <row r="488" spans="1:8" x14ac:dyDescent="0.2">
      <c r="A488" s="20">
        <v>41669</v>
      </c>
      <c r="B488">
        <v>98.25</v>
      </c>
      <c r="C488">
        <f t="shared" si="28"/>
        <v>94.470500000000015</v>
      </c>
      <c r="D488">
        <f t="shared" si="30"/>
        <v>91.36</v>
      </c>
      <c r="E488">
        <f t="shared" si="31"/>
        <v>98.25</v>
      </c>
      <c r="H488" t="str">
        <f t="shared" si="29"/>
        <v>Positive slope</v>
      </c>
    </row>
    <row r="489" spans="1:8" x14ac:dyDescent="0.2">
      <c r="A489" s="20">
        <v>41668</v>
      </c>
      <c r="B489">
        <v>97.34</v>
      </c>
      <c r="C489">
        <f t="shared" si="28"/>
        <v>94.27157894736844</v>
      </c>
      <c r="D489">
        <f t="shared" si="30"/>
        <v>91.36</v>
      </c>
      <c r="E489">
        <f t="shared" si="31"/>
        <v>97.49</v>
      </c>
      <c r="H489" t="str">
        <f t="shared" si="29"/>
        <v>Positive slope</v>
      </c>
    </row>
    <row r="490" spans="1:8" x14ac:dyDescent="0.2">
      <c r="A490" s="20">
        <v>41667</v>
      </c>
      <c r="B490">
        <v>97.49</v>
      </c>
      <c r="C490">
        <f t="shared" si="28"/>
        <v>94.101111111111123</v>
      </c>
      <c r="D490">
        <f t="shared" si="30"/>
        <v>91.36</v>
      </c>
      <c r="E490">
        <f t="shared" si="31"/>
        <v>97.49</v>
      </c>
      <c r="H490" t="str">
        <f t="shared" si="29"/>
        <v>Positive slope</v>
      </c>
    </row>
    <row r="491" spans="1:8" x14ac:dyDescent="0.2">
      <c r="A491" s="20">
        <v>41666</v>
      </c>
      <c r="B491">
        <v>95.82</v>
      </c>
      <c r="C491">
        <f t="shared" si="28"/>
        <v>93.901764705882343</v>
      </c>
      <c r="D491">
        <f t="shared" si="30"/>
        <v>91.36</v>
      </c>
      <c r="E491">
        <f t="shared" si="31"/>
        <v>97.23</v>
      </c>
      <c r="H491" t="str">
        <f t="shared" si="29"/>
        <v>Positive slope</v>
      </c>
    </row>
    <row r="492" spans="1:8" x14ac:dyDescent="0.2">
      <c r="A492" s="20">
        <v>41663</v>
      </c>
      <c r="B492">
        <v>96.66</v>
      </c>
      <c r="C492">
        <f t="shared" si="28"/>
        <v>93.781875000000014</v>
      </c>
      <c r="D492">
        <f t="shared" si="30"/>
        <v>91.36</v>
      </c>
      <c r="E492">
        <f t="shared" si="31"/>
        <v>97.23</v>
      </c>
      <c r="H492" t="str">
        <f t="shared" si="29"/>
        <v>Positive slope</v>
      </c>
    </row>
    <row r="493" spans="1:8" x14ac:dyDescent="0.2">
      <c r="A493" s="20">
        <v>41662</v>
      </c>
      <c r="B493">
        <v>97.23</v>
      </c>
      <c r="C493">
        <f t="shared" si="28"/>
        <v>93.590000000000018</v>
      </c>
      <c r="D493">
        <f t="shared" si="30"/>
        <v>91.36</v>
      </c>
      <c r="E493">
        <f t="shared" si="31"/>
        <v>97.23</v>
      </c>
      <c r="H493" t="str">
        <f t="shared" si="29"/>
        <v>Positive slope</v>
      </c>
    </row>
    <row r="494" spans="1:8" x14ac:dyDescent="0.2">
      <c r="A494" s="20">
        <v>41661</v>
      </c>
      <c r="B494">
        <v>96.35</v>
      </c>
      <c r="C494">
        <f t="shared" si="28"/>
        <v>93.330000000000027</v>
      </c>
      <c r="D494">
        <f t="shared" si="30"/>
        <v>91.36</v>
      </c>
      <c r="E494">
        <f t="shared" si="31"/>
        <v>96.35</v>
      </c>
      <c r="H494" t="str">
        <f t="shared" si="29"/>
        <v>Positive slope</v>
      </c>
    </row>
    <row r="495" spans="1:8" x14ac:dyDescent="0.2">
      <c r="A495" s="20">
        <v>41660</v>
      </c>
      <c r="B495">
        <v>94.51</v>
      </c>
      <c r="C495">
        <f t="shared" si="28"/>
        <v>93.097692307692313</v>
      </c>
      <c r="D495">
        <f t="shared" si="30"/>
        <v>91.36</v>
      </c>
      <c r="E495">
        <f t="shared" si="31"/>
        <v>95.14</v>
      </c>
      <c r="H495" t="str">
        <f t="shared" si="29"/>
        <v>Positive slope</v>
      </c>
    </row>
    <row r="496" spans="1:8" x14ac:dyDescent="0.2">
      <c r="A496" s="20">
        <v>41656</v>
      </c>
      <c r="B496">
        <v>93.96</v>
      </c>
      <c r="C496">
        <f t="shared" si="28"/>
        <v>92.98</v>
      </c>
      <c r="D496">
        <f t="shared" si="30"/>
        <v>91.36</v>
      </c>
      <c r="E496">
        <f t="shared" si="31"/>
        <v>95.14</v>
      </c>
      <c r="H496" t="str">
        <f t="shared" si="29"/>
        <v>Positive slope</v>
      </c>
    </row>
    <row r="497" spans="1:8" x14ac:dyDescent="0.2">
      <c r="A497" s="20">
        <v>41655</v>
      </c>
      <c r="B497">
        <v>93.54</v>
      </c>
      <c r="C497">
        <f t="shared" si="28"/>
        <v>92.890909090909076</v>
      </c>
      <c r="D497">
        <f t="shared" si="30"/>
        <v>91.36</v>
      </c>
      <c r="E497">
        <f t="shared" si="31"/>
        <v>95.14</v>
      </c>
      <c r="H497" t="str">
        <f t="shared" si="29"/>
        <v>Positive slope</v>
      </c>
    </row>
    <row r="498" spans="1:8" x14ac:dyDescent="0.2">
      <c r="A498" s="20">
        <v>41654</v>
      </c>
      <c r="B498">
        <v>93.78</v>
      </c>
      <c r="C498">
        <f t="shared" si="28"/>
        <v>92.825999999999993</v>
      </c>
      <c r="D498">
        <f t="shared" si="30"/>
        <v>91.36</v>
      </c>
      <c r="E498">
        <f t="shared" si="31"/>
        <v>95.14</v>
      </c>
      <c r="H498" t="str">
        <f t="shared" si="29"/>
        <v>Positive slope</v>
      </c>
    </row>
    <row r="499" spans="1:8" x14ac:dyDescent="0.2">
      <c r="A499" s="20">
        <v>41653</v>
      </c>
      <c r="B499">
        <v>92.15</v>
      </c>
      <c r="C499">
        <f t="shared" si="28"/>
        <v>92.719999999999985</v>
      </c>
      <c r="D499">
        <f t="shared" si="30"/>
        <v>91.36</v>
      </c>
      <c r="E499">
        <f t="shared" si="31"/>
        <v>95.14</v>
      </c>
      <c r="H499" t="str">
        <f t="shared" si="29"/>
        <v>Negative slope</v>
      </c>
    </row>
    <row r="500" spans="1:8" x14ac:dyDescent="0.2">
      <c r="A500" s="20">
        <v>41652</v>
      </c>
      <c r="B500">
        <v>91.45</v>
      </c>
      <c r="C500">
        <f t="shared" si="28"/>
        <v>92.791249999999991</v>
      </c>
      <c r="D500">
        <f t="shared" si="30"/>
        <v>91.36</v>
      </c>
      <c r="E500">
        <f t="shared" si="31"/>
        <v>95.14</v>
      </c>
      <c r="H500" t="str">
        <f t="shared" si="29"/>
        <v>Negative slope</v>
      </c>
    </row>
    <row r="501" spans="1:8" x14ac:dyDescent="0.2">
      <c r="A501" s="20">
        <v>41649</v>
      </c>
      <c r="B501">
        <v>92.39</v>
      </c>
      <c r="C501">
        <f t="shared" si="28"/>
        <v>92.982857142857142</v>
      </c>
      <c r="D501">
        <f t="shared" si="30"/>
        <v>91.36</v>
      </c>
      <c r="E501">
        <f t="shared" si="31"/>
        <v>95.14</v>
      </c>
      <c r="H501" t="str">
        <f t="shared" si="29"/>
        <v>Negative slope</v>
      </c>
    </row>
    <row r="502" spans="1:8" x14ac:dyDescent="0.2">
      <c r="A502" s="20">
        <v>41648</v>
      </c>
      <c r="B502">
        <v>91.36</v>
      </c>
      <c r="C502">
        <f t="shared" si="28"/>
        <v>93.081666666666663</v>
      </c>
      <c r="D502">
        <f t="shared" si="30"/>
        <v>91.36</v>
      </c>
      <c r="E502">
        <f t="shared" si="31"/>
        <v>95.14</v>
      </c>
      <c r="H502" t="str">
        <f t="shared" si="29"/>
        <v>Negative slope</v>
      </c>
    </row>
    <row r="503" spans="1:8" x14ac:dyDescent="0.2">
      <c r="A503" s="20">
        <v>41647</v>
      </c>
      <c r="B503">
        <v>91.9</v>
      </c>
      <c r="C503">
        <f t="shared" si="28"/>
        <v>93.426000000000002</v>
      </c>
      <c r="D503">
        <f t="shared" si="30"/>
        <v>91.9</v>
      </c>
      <c r="E503">
        <f t="shared" si="31"/>
        <v>95.14</v>
      </c>
      <c r="H503" t="str">
        <f t="shared" si="29"/>
        <v>Negative slope</v>
      </c>
    </row>
    <row r="504" spans="1:8" x14ac:dyDescent="0.2">
      <c r="A504" s="20">
        <v>41646</v>
      </c>
      <c r="B504">
        <v>93.31</v>
      </c>
      <c r="C504">
        <f t="shared" si="28"/>
        <v>93.807500000000005</v>
      </c>
      <c r="D504">
        <f t="shared" si="30"/>
        <v>93.12</v>
      </c>
      <c r="E504">
        <f t="shared" si="31"/>
        <v>95.14</v>
      </c>
      <c r="H504" t="str">
        <f t="shared" si="29"/>
        <v>Negative slope</v>
      </c>
    </row>
    <row r="505" spans="1:8" x14ac:dyDescent="0.2">
      <c r="A505" s="20">
        <v>41645</v>
      </c>
      <c r="B505">
        <v>93.12</v>
      </c>
      <c r="C505">
        <f t="shared" si="28"/>
        <v>93.973333333333343</v>
      </c>
      <c r="D505">
        <f t="shared" si="30"/>
        <v>93.12</v>
      </c>
      <c r="E505">
        <f t="shared" si="31"/>
        <v>95.14</v>
      </c>
      <c r="H505" t="str">
        <f t="shared" si="29"/>
        <v>Negative slope</v>
      </c>
    </row>
    <row r="506" spans="1:8" x14ac:dyDescent="0.2">
      <c r="A506" s="20">
        <v>41642</v>
      </c>
      <c r="B506">
        <v>93.66</v>
      </c>
      <c r="C506">
        <f t="shared" si="28"/>
        <v>94.4</v>
      </c>
      <c r="D506">
        <f t="shared" si="30"/>
        <v>93.66</v>
      </c>
      <c r="E506">
        <f t="shared" si="31"/>
        <v>95.14</v>
      </c>
      <c r="H506" t="str">
        <f t="shared" si="29"/>
        <v>Negative slope</v>
      </c>
    </row>
    <row r="507" spans="1:8" x14ac:dyDescent="0.2">
      <c r="A507" s="20">
        <v>41641</v>
      </c>
      <c r="B507">
        <v>95.14</v>
      </c>
      <c r="C507">
        <f t="shared" si="28"/>
        <v>95.14</v>
      </c>
      <c r="D507">
        <f t="shared" si="30"/>
        <v>95.14</v>
      </c>
      <c r="E507">
        <f t="shared" si="31"/>
        <v>95.14</v>
      </c>
      <c r="H507" t="str">
        <f t="shared" si="29"/>
        <v>Positive slope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radeeeeee3">
                <anchor moveWithCells="1" sizeWithCells="1">
                  <from>
                    <xdr:col>12</xdr:col>
                    <xdr:colOff>9525</xdr:colOff>
                    <xdr:row>0</xdr:row>
                    <xdr:rowOff>152400</xdr:rowOff>
                  </from>
                  <to>
                    <xdr:col>16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3"/>
  <sheetViews>
    <sheetView workbookViewId="0">
      <selection activeCell="L6" sqref="L6"/>
    </sheetView>
  </sheetViews>
  <sheetFormatPr defaultRowHeight="12.75" x14ac:dyDescent="0.2"/>
  <cols>
    <col min="11" max="11" width="16.5703125" bestFit="1" customWidth="1"/>
    <col min="12" max="12" width="10" bestFit="1" customWidth="1"/>
  </cols>
  <sheetData>
    <row r="1" spans="1:12" x14ac:dyDescent="0.2">
      <c r="A1" t="s">
        <v>56</v>
      </c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77</v>
      </c>
    </row>
    <row r="2" spans="1:12" x14ac:dyDescent="0.2">
      <c r="A2" s="20">
        <v>42825</v>
      </c>
      <c r="B2">
        <v>65.650002000000001</v>
      </c>
      <c r="C2">
        <v>66.190002000000007</v>
      </c>
      <c r="D2">
        <v>65.449996999999996</v>
      </c>
      <c r="E2">
        <v>65.860000999999997</v>
      </c>
      <c r="F2">
        <v>21001100</v>
      </c>
      <c r="G2">
        <v>65.860000999999997</v>
      </c>
      <c r="H2">
        <f>E2/E3-1</f>
        <v>2.282788042653916E-3</v>
      </c>
      <c r="K2" t="s">
        <v>0</v>
      </c>
      <c r="L2" s="64">
        <v>1E-3</v>
      </c>
    </row>
    <row r="3" spans="1:12" x14ac:dyDescent="0.2">
      <c r="A3" s="20">
        <v>42824</v>
      </c>
      <c r="B3">
        <v>65.419998000000007</v>
      </c>
      <c r="C3">
        <v>65.980002999999996</v>
      </c>
      <c r="D3">
        <v>65.360000999999997</v>
      </c>
      <c r="E3">
        <v>65.709998999999996</v>
      </c>
      <c r="F3">
        <v>15100400</v>
      </c>
      <c r="G3">
        <v>65.709998999999996</v>
      </c>
      <c r="H3">
        <f t="shared" ref="H3:H66" si="0">E3/E4-1</f>
        <v>3.6657705259544038E-3</v>
      </c>
      <c r="K3" t="s">
        <v>65</v>
      </c>
      <c r="L3">
        <v>1</v>
      </c>
    </row>
    <row r="4" spans="1:12" x14ac:dyDescent="0.2">
      <c r="A4" s="20">
        <v>42823</v>
      </c>
      <c r="B4">
        <v>65.120002999999997</v>
      </c>
      <c r="C4">
        <v>65.5</v>
      </c>
      <c r="D4">
        <v>64.949996999999996</v>
      </c>
      <c r="E4">
        <v>65.470000999999996</v>
      </c>
      <c r="F4">
        <v>13512400</v>
      </c>
      <c r="G4">
        <v>65.470000999999996</v>
      </c>
      <c r="H4">
        <f t="shared" si="0"/>
        <v>2.7569305750201334E-3</v>
      </c>
      <c r="K4" t="s">
        <v>66</v>
      </c>
      <c r="L4">
        <f>E2</f>
        <v>65.860000999999997</v>
      </c>
    </row>
    <row r="5" spans="1:12" x14ac:dyDescent="0.2">
      <c r="A5" s="20">
        <v>42822</v>
      </c>
      <c r="B5">
        <v>64.959998999999996</v>
      </c>
      <c r="C5">
        <v>65.470000999999996</v>
      </c>
      <c r="D5">
        <v>64.650002000000001</v>
      </c>
      <c r="E5">
        <v>65.290001000000004</v>
      </c>
      <c r="F5">
        <v>20039300</v>
      </c>
      <c r="G5">
        <v>65.290001000000004</v>
      </c>
      <c r="H5">
        <f t="shared" si="0"/>
        <v>2.9186329621699869E-3</v>
      </c>
      <c r="K5" t="s">
        <v>67</v>
      </c>
      <c r="L5">
        <f>_xlfn.STDEV.S(H2:H252)</f>
        <v>1.1639386723251465E-2</v>
      </c>
    </row>
    <row r="6" spans="1:12" x14ac:dyDescent="0.2">
      <c r="A6" s="20">
        <v>42821</v>
      </c>
      <c r="B6">
        <v>64.629997000000003</v>
      </c>
      <c r="C6">
        <v>65.220000999999996</v>
      </c>
      <c r="D6">
        <v>64.349997999999999</v>
      </c>
      <c r="E6">
        <v>65.099997999999999</v>
      </c>
      <c r="F6">
        <v>18550200</v>
      </c>
      <c r="G6">
        <v>65.099997999999999</v>
      </c>
      <c r="H6">
        <f t="shared" si="0"/>
        <v>1.8466450363199272E-3</v>
      </c>
      <c r="K6" t="s">
        <v>68</v>
      </c>
      <c r="L6">
        <f>SQRT(252)*L5</f>
        <v>0.18476953609818214</v>
      </c>
    </row>
    <row r="7" spans="1:12" x14ac:dyDescent="0.2">
      <c r="A7" s="20">
        <v>42818</v>
      </c>
      <c r="B7">
        <v>65.360000999999997</v>
      </c>
      <c r="C7">
        <v>65.449996999999996</v>
      </c>
      <c r="D7">
        <v>64.760002</v>
      </c>
      <c r="E7">
        <v>64.980002999999996</v>
      </c>
      <c r="F7">
        <v>22373200</v>
      </c>
      <c r="G7">
        <v>64.980002999999996</v>
      </c>
      <c r="H7">
        <f t="shared" si="0"/>
        <v>1.6956990120688964E-3</v>
      </c>
    </row>
    <row r="8" spans="1:12" x14ac:dyDescent="0.2">
      <c r="A8" s="20">
        <v>42817</v>
      </c>
      <c r="B8">
        <v>64.940002000000007</v>
      </c>
      <c r="C8">
        <v>65.239998</v>
      </c>
      <c r="D8">
        <v>64.769997000000004</v>
      </c>
      <c r="E8">
        <v>64.870002999999997</v>
      </c>
      <c r="F8">
        <v>18819600</v>
      </c>
      <c r="G8">
        <v>64.870002999999997</v>
      </c>
      <c r="H8">
        <f t="shared" si="0"/>
        <v>-2.4603414187351902E-3</v>
      </c>
    </row>
    <row r="9" spans="1:12" x14ac:dyDescent="0.2">
      <c r="A9" s="20">
        <v>42816</v>
      </c>
      <c r="B9">
        <v>64.120002999999997</v>
      </c>
      <c r="C9">
        <v>65.139999000000003</v>
      </c>
      <c r="D9">
        <v>64.120002999999997</v>
      </c>
      <c r="E9">
        <v>65.029999000000004</v>
      </c>
      <c r="F9">
        <v>20632800</v>
      </c>
      <c r="G9">
        <v>65.029999000000004</v>
      </c>
      <c r="H9">
        <f t="shared" si="0"/>
        <v>1.2770596679187118E-2</v>
      </c>
    </row>
    <row r="10" spans="1:12" x14ac:dyDescent="0.2">
      <c r="A10" s="20">
        <v>42815</v>
      </c>
      <c r="B10">
        <v>65.190002000000007</v>
      </c>
      <c r="C10">
        <v>65.5</v>
      </c>
      <c r="D10">
        <v>64.129997000000003</v>
      </c>
      <c r="E10">
        <v>64.209998999999996</v>
      </c>
      <c r="F10">
        <v>26191800</v>
      </c>
      <c r="G10">
        <v>64.209998999999996</v>
      </c>
      <c r="H10">
        <f t="shared" si="0"/>
        <v>-1.1088880332666085E-2</v>
      </c>
    </row>
    <row r="11" spans="1:12" x14ac:dyDescent="0.2">
      <c r="A11" s="20">
        <v>42814</v>
      </c>
      <c r="B11">
        <v>64.910004000000001</v>
      </c>
      <c r="C11">
        <v>65.180000000000007</v>
      </c>
      <c r="D11">
        <v>64.720000999999996</v>
      </c>
      <c r="E11">
        <v>64.930000000000007</v>
      </c>
      <c r="F11">
        <v>12744200</v>
      </c>
      <c r="G11">
        <v>64.930000000000007</v>
      </c>
      <c r="H11">
        <f t="shared" si="0"/>
        <v>9.2488048751926399E-4</v>
      </c>
    </row>
    <row r="12" spans="1:12" x14ac:dyDescent="0.2">
      <c r="A12" s="20">
        <v>42811</v>
      </c>
      <c r="B12">
        <v>64.910004000000001</v>
      </c>
      <c r="C12">
        <v>65.239998</v>
      </c>
      <c r="D12">
        <v>64.680000000000007</v>
      </c>
      <c r="E12">
        <v>64.870002999999997</v>
      </c>
      <c r="F12">
        <v>48994700</v>
      </c>
      <c r="G12">
        <v>64.870002999999997</v>
      </c>
      <c r="H12">
        <f t="shared" si="0"/>
        <v>3.5582302530665633E-3</v>
      </c>
    </row>
    <row r="13" spans="1:12" x14ac:dyDescent="0.2">
      <c r="A13" s="20">
        <v>42810</v>
      </c>
      <c r="B13">
        <v>64.75</v>
      </c>
      <c r="C13">
        <v>64.760002</v>
      </c>
      <c r="D13">
        <v>64.300003000000004</v>
      </c>
      <c r="E13">
        <v>64.639999000000003</v>
      </c>
      <c r="F13">
        <v>20532600</v>
      </c>
      <c r="G13">
        <v>64.639999000000003</v>
      </c>
      <c r="H13">
        <f t="shared" si="0"/>
        <v>-1.6988571428571131E-3</v>
      </c>
    </row>
    <row r="14" spans="1:12" x14ac:dyDescent="0.2">
      <c r="A14" s="20">
        <v>42809</v>
      </c>
      <c r="B14">
        <v>64.550003000000004</v>
      </c>
      <c r="C14">
        <v>64.919998000000007</v>
      </c>
      <c r="D14">
        <v>64.25</v>
      </c>
      <c r="E14">
        <v>64.75</v>
      </c>
      <c r="F14">
        <v>20501900</v>
      </c>
      <c r="G14">
        <v>64.75</v>
      </c>
      <c r="H14">
        <f t="shared" si="0"/>
        <v>5.2786210042774506E-3</v>
      </c>
    </row>
    <row r="15" spans="1:12" x14ac:dyDescent="0.2">
      <c r="A15" s="20">
        <v>42808</v>
      </c>
      <c r="B15">
        <v>64.529999000000004</v>
      </c>
      <c r="C15">
        <v>64.550003000000004</v>
      </c>
      <c r="D15">
        <v>64.150002000000001</v>
      </c>
      <c r="E15">
        <v>64.410004000000001</v>
      </c>
      <c r="F15">
        <v>14263700</v>
      </c>
      <c r="G15">
        <v>64.410004000000001</v>
      </c>
      <c r="H15">
        <f t="shared" si="0"/>
        <v>-4.6359914176478112E-3</v>
      </c>
    </row>
    <row r="16" spans="1:12" x14ac:dyDescent="0.2">
      <c r="A16" s="20">
        <v>42807</v>
      </c>
      <c r="B16">
        <v>65.010002</v>
      </c>
      <c r="C16">
        <v>65.190002000000007</v>
      </c>
      <c r="D16">
        <v>64.569999999999993</v>
      </c>
      <c r="E16">
        <v>64.709998999999996</v>
      </c>
      <c r="F16">
        <v>19551800</v>
      </c>
      <c r="G16">
        <v>64.709998999999996</v>
      </c>
      <c r="H16">
        <f t="shared" si="0"/>
        <v>-3.3882796858156761E-3</v>
      </c>
    </row>
    <row r="17" spans="1:8" x14ac:dyDescent="0.2">
      <c r="A17" s="20">
        <v>42804</v>
      </c>
      <c r="B17">
        <v>65.110000999999997</v>
      </c>
      <c r="C17">
        <v>65.260002</v>
      </c>
      <c r="D17">
        <v>64.75</v>
      </c>
      <c r="E17">
        <v>64.930000000000007</v>
      </c>
      <c r="F17">
        <v>19528300</v>
      </c>
      <c r="G17">
        <v>64.930000000000007</v>
      </c>
      <c r="H17">
        <f t="shared" si="0"/>
        <v>3.0897109644814069E-3</v>
      </c>
    </row>
    <row r="18" spans="1:8" x14ac:dyDescent="0.2">
      <c r="A18" s="20">
        <v>42803</v>
      </c>
      <c r="B18">
        <v>65.190002000000007</v>
      </c>
      <c r="C18">
        <v>65.199996999999996</v>
      </c>
      <c r="D18">
        <v>64.480002999999996</v>
      </c>
      <c r="E18">
        <v>64.730002999999996</v>
      </c>
      <c r="F18">
        <v>19772700</v>
      </c>
      <c r="G18">
        <v>64.730002999999996</v>
      </c>
      <c r="H18">
        <f t="shared" si="0"/>
        <v>-4.0005386675039389E-3</v>
      </c>
    </row>
    <row r="19" spans="1:8" x14ac:dyDescent="0.2">
      <c r="A19" s="20">
        <v>42802</v>
      </c>
      <c r="B19">
        <v>64.260002</v>
      </c>
      <c r="C19">
        <v>65.080001999999993</v>
      </c>
      <c r="D19">
        <v>64.25</v>
      </c>
      <c r="E19">
        <v>64.989998</v>
      </c>
      <c r="F19">
        <v>20961700</v>
      </c>
      <c r="G19">
        <v>64.989998</v>
      </c>
      <c r="H19">
        <f t="shared" si="0"/>
        <v>9.1614282869121322E-3</v>
      </c>
    </row>
    <row r="20" spans="1:8" x14ac:dyDescent="0.2">
      <c r="A20" s="20">
        <v>42801</v>
      </c>
      <c r="B20">
        <v>64.190002000000007</v>
      </c>
      <c r="C20">
        <v>64.779999000000004</v>
      </c>
      <c r="D20">
        <v>64.190002000000007</v>
      </c>
      <c r="E20">
        <v>64.400002000000001</v>
      </c>
      <c r="F20">
        <v>18300700</v>
      </c>
      <c r="G20">
        <v>64.400002000000001</v>
      </c>
      <c r="H20">
        <f t="shared" si="0"/>
        <v>2.0227945552884208E-3</v>
      </c>
    </row>
    <row r="21" spans="1:8" x14ac:dyDescent="0.2">
      <c r="A21" s="20">
        <v>42800</v>
      </c>
      <c r="B21">
        <v>63.970001000000003</v>
      </c>
      <c r="C21">
        <v>64.559997999999993</v>
      </c>
      <c r="D21">
        <v>63.810001</v>
      </c>
      <c r="E21">
        <v>64.269997000000004</v>
      </c>
      <c r="F21">
        <v>17487700</v>
      </c>
      <c r="G21">
        <v>64.269997000000004</v>
      </c>
      <c r="H21">
        <f t="shared" si="0"/>
        <v>3.1123735408566944E-4</v>
      </c>
    </row>
    <row r="22" spans="1:8" x14ac:dyDescent="0.2">
      <c r="A22" s="20">
        <v>42797</v>
      </c>
      <c r="B22">
        <v>63.990001999999997</v>
      </c>
      <c r="C22">
        <v>64.279999000000004</v>
      </c>
      <c r="D22">
        <v>63.619999</v>
      </c>
      <c r="E22">
        <v>64.25</v>
      </c>
      <c r="F22">
        <v>18135900</v>
      </c>
      <c r="G22">
        <v>64.25</v>
      </c>
      <c r="H22">
        <f t="shared" si="0"/>
        <v>3.7493827917705058E-3</v>
      </c>
    </row>
    <row r="23" spans="1:8" x14ac:dyDescent="0.2">
      <c r="A23" s="20">
        <v>42796</v>
      </c>
      <c r="B23">
        <v>64.690002000000007</v>
      </c>
      <c r="C23">
        <v>64.75</v>
      </c>
      <c r="D23">
        <v>63.880001</v>
      </c>
      <c r="E23">
        <v>64.010002</v>
      </c>
      <c r="F23">
        <v>24510900</v>
      </c>
      <c r="G23">
        <v>64.010002</v>
      </c>
      <c r="H23">
        <f t="shared" si="0"/>
        <v>-1.4320911169667161E-2</v>
      </c>
    </row>
    <row r="24" spans="1:8" x14ac:dyDescent="0.2">
      <c r="A24" s="20">
        <v>42795</v>
      </c>
      <c r="B24">
        <v>64.129997000000003</v>
      </c>
      <c r="C24">
        <v>64.989998</v>
      </c>
      <c r="D24">
        <v>64.019997000000004</v>
      </c>
      <c r="E24">
        <v>64.940002000000007</v>
      </c>
      <c r="F24">
        <v>26763800</v>
      </c>
      <c r="G24">
        <v>64.940002000000007</v>
      </c>
      <c r="H24">
        <f t="shared" si="0"/>
        <v>1.5004720225070489E-2</v>
      </c>
    </row>
    <row r="25" spans="1:8" x14ac:dyDescent="0.2">
      <c r="A25" s="20">
        <v>42794</v>
      </c>
      <c r="B25">
        <v>64.080001999999993</v>
      </c>
      <c r="C25">
        <v>64.199996999999996</v>
      </c>
      <c r="D25">
        <v>63.759998000000003</v>
      </c>
      <c r="E25">
        <v>63.98</v>
      </c>
      <c r="F25">
        <v>23043900</v>
      </c>
      <c r="G25">
        <v>63.98</v>
      </c>
      <c r="H25">
        <f t="shared" si="0"/>
        <v>-3.8923087081281782E-3</v>
      </c>
    </row>
    <row r="26" spans="1:8" x14ac:dyDescent="0.2">
      <c r="A26" s="20">
        <v>42793</v>
      </c>
      <c r="B26">
        <v>64.540001000000004</v>
      </c>
      <c r="C26">
        <v>64.540001000000004</v>
      </c>
      <c r="D26">
        <v>64.050003000000004</v>
      </c>
      <c r="E26">
        <v>64.230002999999996</v>
      </c>
      <c r="F26">
        <v>15850400</v>
      </c>
      <c r="G26">
        <v>64.230002999999996</v>
      </c>
      <c r="H26">
        <f t="shared" si="0"/>
        <v>-6.035282913868012E-3</v>
      </c>
    </row>
    <row r="27" spans="1:8" x14ac:dyDescent="0.2">
      <c r="A27" s="20">
        <v>42790</v>
      </c>
      <c r="B27">
        <v>64.529999000000004</v>
      </c>
      <c r="C27">
        <v>64.800003000000004</v>
      </c>
      <c r="D27">
        <v>64.139999000000003</v>
      </c>
      <c r="E27">
        <v>64.620002999999997</v>
      </c>
      <c r="F27">
        <v>21705200</v>
      </c>
      <c r="G27">
        <v>64.620002999999997</v>
      </c>
      <c r="H27">
        <f t="shared" si="0"/>
        <v>0</v>
      </c>
    </row>
    <row r="28" spans="1:8" x14ac:dyDescent="0.2">
      <c r="A28" s="20">
        <v>42789</v>
      </c>
      <c r="B28">
        <v>64.419998000000007</v>
      </c>
      <c r="C28">
        <v>64.730002999999996</v>
      </c>
      <c r="D28">
        <v>64.190002000000007</v>
      </c>
      <c r="E28">
        <v>64.620002999999997</v>
      </c>
      <c r="F28">
        <v>20235200</v>
      </c>
      <c r="G28">
        <v>64.620002999999997</v>
      </c>
      <c r="H28">
        <f t="shared" si="0"/>
        <v>4.0398072709788568E-3</v>
      </c>
    </row>
    <row r="29" spans="1:8" x14ac:dyDescent="0.2">
      <c r="A29" s="20">
        <v>42788</v>
      </c>
      <c r="B29">
        <v>64.330001999999993</v>
      </c>
      <c r="C29">
        <v>64.389999000000003</v>
      </c>
      <c r="D29">
        <v>64.050003000000004</v>
      </c>
      <c r="E29">
        <v>64.360000999999997</v>
      </c>
      <c r="F29">
        <v>19259700</v>
      </c>
      <c r="G29">
        <v>64.360000999999997</v>
      </c>
      <c r="H29">
        <f t="shared" si="0"/>
        <v>-2.0157699493184023E-3</v>
      </c>
    </row>
    <row r="30" spans="1:8" x14ac:dyDescent="0.2">
      <c r="A30" s="20">
        <v>42787</v>
      </c>
      <c r="B30">
        <v>64.610000999999997</v>
      </c>
      <c r="C30">
        <v>64.949996999999996</v>
      </c>
      <c r="D30">
        <v>64.449996999999996</v>
      </c>
      <c r="E30">
        <v>64.489998</v>
      </c>
      <c r="F30">
        <v>19384900</v>
      </c>
      <c r="G30">
        <v>64.489998</v>
      </c>
      <c r="H30">
        <f t="shared" si="0"/>
        <v>-2.0118383467112588E-3</v>
      </c>
    </row>
    <row r="31" spans="1:8" x14ac:dyDescent="0.2">
      <c r="A31" s="20">
        <v>42783</v>
      </c>
      <c r="B31">
        <v>64.470000999999996</v>
      </c>
      <c r="C31">
        <v>64.690002000000007</v>
      </c>
      <c r="D31">
        <v>64.300003000000004</v>
      </c>
      <c r="E31">
        <v>64.620002999999997</v>
      </c>
      <c r="F31">
        <v>21234600</v>
      </c>
      <c r="G31">
        <v>64.620002999999997</v>
      </c>
      <c r="H31">
        <f t="shared" si="0"/>
        <v>1.550000072070512E-3</v>
      </c>
    </row>
    <row r="32" spans="1:8" x14ac:dyDescent="0.2">
      <c r="A32" s="20">
        <v>42782</v>
      </c>
      <c r="B32">
        <v>64.739998</v>
      </c>
      <c r="C32">
        <v>65.239998</v>
      </c>
      <c r="D32">
        <v>64.440002000000007</v>
      </c>
      <c r="E32">
        <v>64.519997000000004</v>
      </c>
      <c r="F32">
        <v>20524700</v>
      </c>
      <c r="G32">
        <v>64.519997000000004</v>
      </c>
      <c r="H32">
        <f t="shared" si="0"/>
        <v>-1.5499767790172481E-4</v>
      </c>
    </row>
    <row r="33" spans="1:8" x14ac:dyDescent="0.2">
      <c r="A33" s="20">
        <v>42781</v>
      </c>
      <c r="B33">
        <v>64.5</v>
      </c>
      <c r="C33">
        <v>64.569999999999993</v>
      </c>
      <c r="D33">
        <v>64.160004000000001</v>
      </c>
      <c r="E33">
        <v>64.529999000000004</v>
      </c>
      <c r="F33">
        <v>16917000</v>
      </c>
      <c r="G33">
        <v>64.529999000000004</v>
      </c>
      <c r="H33">
        <f t="shared" si="0"/>
        <v>-6.1949821898699131E-4</v>
      </c>
    </row>
    <row r="34" spans="1:8" x14ac:dyDescent="0.2">
      <c r="A34" s="20">
        <v>42780</v>
      </c>
      <c r="B34">
        <v>64.410004000000001</v>
      </c>
      <c r="C34">
        <v>64.720000999999996</v>
      </c>
      <c r="D34">
        <v>64.019997000000004</v>
      </c>
      <c r="E34">
        <v>64.569999999999993</v>
      </c>
      <c r="F34">
        <v>23065900</v>
      </c>
      <c r="G34">
        <v>64.569999999999993</v>
      </c>
      <c r="H34">
        <f t="shared" si="0"/>
        <v>-2.3176915587501679E-3</v>
      </c>
    </row>
    <row r="35" spans="1:8" x14ac:dyDescent="0.2">
      <c r="A35" s="20">
        <v>42779</v>
      </c>
      <c r="B35">
        <v>64.239998</v>
      </c>
      <c r="C35">
        <v>64.860000999999997</v>
      </c>
      <c r="D35">
        <v>64.129997000000003</v>
      </c>
      <c r="E35">
        <v>64.720000999999996</v>
      </c>
      <c r="F35">
        <v>22920100</v>
      </c>
      <c r="G35">
        <v>64.33</v>
      </c>
      <c r="H35">
        <f t="shared" si="0"/>
        <v>1.1250015624999943E-2</v>
      </c>
    </row>
    <row r="36" spans="1:8" x14ac:dyDescent="0.2">
      <c r="A36" s="20">
        <v>42776</v>
      </c>
      <c r="B36">
        <v>64.25</v>
      </c>
      <c r="C36">
        <v>64.300003000000004</v>
      </c>
      <c r="D36">
        <v>63.98</v>
      </c>
      <c r="E36">
        <v>64</v>
      </c>
      <c r="F36">
        <v>18170700</v>
      </c>
      <c r="G36">
        <v>63.614337999999996</v>
      </c>
      <c r="H36">
        <f t="shared" si="0"/>
        <v>-9.3659072546325994E-4</v>
      </c>
    </row>
    <row r="37" spans="1:8" x14ac:dyDescent="0.2">
      <c r="A37" s="20">
        <v>42775</v>
      </c>
      <c r="B37">
        <v>63.52</v>
      </c>
      <c r="C37">
        <v>64.440002000000007</v>
      </c>
      <c r="D37">
        <v>63.32</v>
      </c>
      <c r="E37">
        <v>64.059997999999993</v>
      </c>
      <c r="F37">
        <v>22644400</v>
      </c>
      <c r="G37">
        <v>63.673974000000001</v>
      </c>
      <c r="H37">
        <f t="shared" si="0"/>
        <v>1.1367192927060232E-2</v>
      </c>
    </row>
    <row r="38" spans="1:8" x14ac:dyDescent="0.2">
      <c r="A38" s="20">
        <v>42774</v>
      </c>
      <c r="B38">
        <v>63.57</v>
      </c>
      <c r="C38">
        <v>63.810001</v>
      </c>
      <c r="D38">
        <v>63.220001000000003</v>
      </c>
      <c r="E38">
        <v>63.34</v>
      </c>
      <c r="F38">
        <v>18096400</v>
      </c>
      <c r="G38">
        <v>62.958314999999999</v>
      </c>
      <c r="H38">
        <f t="shared" si="0"/>
        <v>-1.4188869620053168E-3</v>
      </c>
    </row>
    <row r="39" spans="1:8" x14ac:dyDescent="0.2">
      <c r="A39" s="20">
        <v>42773</v>
      </c>
      <c r="B39">
        <v>63.740001999999997</v>
      </c>
      <c r="C39">
        <v>63.779998999999997</v>
      </c>
      <c r="D39">
        <v>63.23</v>
      </c>
      <c r="E39">
        <v>63.43</v>
      </c>
      <c r="F39">
        <v>20277200</v>
      </c>
      <c r="G39">
        <v>63.047772999999999</v>
      </c>
      <c r="H39">
        <f t="shared" si="0"/>
        <v>-3.2997957778095888E-3</v>
      </c>
    </row>
    <row r="40" spans="1:8" x14ac:dyDescent="0.2">
      <c r="A40" s="20">
        <v>42772</v>
      </c>
      <c r="B40">
        <v>63.5</v>
      </c>
      <c r="C40">
        <v>63.650002000000001</v>
      </c>
      <c r="D40">
        <v>63.139999000000003</v>
      </c>
      <c r="E40">
        <v>63.639999000000003</v>
      </c>
      <c r="F40">
        <v>19796400</v>
      </c>
      <c r="G40">
        <v>63.256506999999999</v>
      </c>
      <c r="H40">
        <f t="shared" si="0"/>
        <v>-6.2815640703517417E-4</v>
      </c>
    </row>
    <row r="41" spans="1:8" x14ac:dyDescent="0.2">
      <c r="A41" s="20">
        <v>42769</v>
      </c>
      <c r="B41">
        <v>63.5</v>
      </c>
      <c r="C41">
        <v>63.700001</v>
      </c>
      <c r="D41">
        <v>63.07</v>
      </c>
      <c r="E41">
        <v>63.68</v>
      </c>
      <c r="F41">
        <v>30301800</v>
      </c>
      <c r="G41">
        <v>63.296267</v>
      </c>
      <c r="H41">
        <f t="shared" si="0"/>
        <v>8.0734845044636572E-3</v>
      </c>
    </row>
    <row r="42" spans="1:8" x14ac:dyDescent="0.2">
      <c r="A42" s="20">
        <v>42768</v>
      </c>
      <c r="B42">
        <v>63.25</v>
      </c>
      <c r="C42">
        <v>63.41</v>
      </c>
      <c r="D42">
        <v>62.75</v>
      </c>
      <c r="E42">
        <v>63.169998</v>
      </c>
      <c r="F42">
        <v>45827000</v>
      </c>
      <c r="G42">
        <v>62.789338000000001</v>
      </c>
      <c r="H42">
        <f t="shared" si="0"/>
        <v>-6.4486314423205515E-3</v>
      </c>
    </row>
    <row r="43" spans="1:8" x14ac:dyDescent="0.2">
      <c r="A43" s="20">
        <v>42767</v>
      </c>
      <c r="B43">
        <v>64.360000999999997</v>
      </c>
      <c r="C43">
        <v>64.620002999999997</v>
      </c>
      <c r="D43">
        <v>63.470001000000003</v>
      </c>
      <c r="E43">
        <v>63.580002</v>
      </c>
      <c r="F43">
        <v>39671500</v>
      </c>
      <c r="G43">
        <v>63.196871000000002</v>
      </c>
      <c r="H43">
        <f t="shared" si="0"/>
        <v>-1.6550656873916214E-2</v>
      </c>
    </row>
    <row r="44" spans="1:8" x14ac:dyDescent="0.2">
      <c r="A44" s="20">
        <v>42766</v>
      </c>
      <c r="B44">
        <v>64.860000999999997</v>
      </c>
      <c r="C44">
        <v>65.150002000000001</v>
      </c>
      <c r="D44">
        <v>64.260002</v>
      </c>
      <c r="E44">
        <v>64.650002000000001</v>
      </c>
      <c r="F44">
        <v>25270500</v>
      </c>
      <c r="G44">
        <v>64.260423000000003</v>
      </c>
      <c r="H44">
        <f t="shared" si="0"/>
        <v>-7.3697992032765169E-3</v>
      </c>
    </row>
    <row r="45" spans="1:8" x14ac:dyDescent="0.2">
      <c r="A45" s="20">
        <v>42765</v>
      </c>
      <c r="B45">
        <v>65.690002000000007</v>
      </c>
      <c r="C45">
        <v>65.790001000000004</v>
      </c>
      <c r="D45">
        <v>64.800003000000004</v>
      </c>
      <c r="E45">
        <v>65.129997000000003</v>
      </c>
      <c r="F45">
        <v>31651400</v>
      </c>
      <c r="G45">
        <v>64.737526000000003</v>
      </c>
      <c r="H45">
        <f t="shared" si="0"/>
        <v>-9.8814534794992026E-3</v>
      </c>
    </row>
    <row r="46" spans="1:8" x14ac:dyDescent="0.2">
      <c r="A46" s="20">
        <v>42762</v>
      </c>
      <c r="B46">
        <v>65.389999000000003</v>
      </c>
      <c r="C46">
        <v>65.910004000000001</v>
      </c>
      <c r="D46">
        <v>64.889999000000003</v>
      </c>
      <c r="E46">
        <v>65.779999000000004</v>
      </c>
      <c r="F46">
        <v>44818000</v>
      </c>
      <c r="G46">
        <v>65.383610000000004</v>
      </c>
      <c r="H46">
        <f t="shared" si="0"/>
        <v>2.3494664236564322E-2</v>
      </c>
    </row>
    <row r="47" spans="1:8" x14ac:dyDescent="0.2">
      <c r="A47" s="20">
        <v>42761</v>
      </c>
      <c r="B47">
        <v>64.120002999999997</v>
      </c>
      <c r="C47">
        <v>64.540001000000004</v>
      </c>
      <c r="D47">
        <v>63.549999</v>
      </c>
      <c r="E47">
        <v>64.269997000000004</v>
      </c>
      <c r="F47">
        <v>43554600</v>
      </c>
      <c r="G47">
        <v>63.882708000000001</v>
      </c>
      <c r="H47">
        <f t="shared" si="0"/>
        <v>9.2650282663317984E-3</v>
      </c>
    </row>
    <row r="48" spans="1:8" x14ac:dyDescent="0.2">
      <c r="A48" s="20">
        <v>42760</v>
      </c>
      <c r="B48">
        <v>63.950001</v>
      </c>
      <c r="C48">
        <v>64.099997999999999</v>
      </c>
      <c r="D48">
        <v>63.450001</v>
      </c>
      <c r="E48">
        <v>63.68</v>
      </c>
      <c r="F48">
        <v>23672700</v>
      </c>
      <c r="G48">
        <v>63.296267</v>
      </c>
      <c r="H48">
        <f t="shared" si="0"/>
        <v>2.5188916876572875E-3</v>
      </c>
    </row>
    <row r="49" spans="1:8" x14ac:dyDescent="0.2">
      <c r="A49" s="20">
        <v>42759</v>
      </c>
      <c r="B49">
        <v>63.200001</v>
      </c>
      <c r="C49">
        <v>63.740001999999997</v>
      </c>
      <c r="D49">
        <v>62.939999</v>
      </c>
      <c r="E49">
        <v>63.52</v>
      </c>
      <c r="F49">
        <v>24672900</v>
      </c>
      <c r="G49">
        <v>63.137231</v>
      </c>
      <c r="H49">
        <f t="shared" si="0"/>
        <v>8.8945522378423014E-3</v>
      </c>
    </row>
    <row r="50" spans="1:8" x14ac:dyDescent="0.2">
      <c r="A50" s="20">
        <v>42758</v>
      </c>
      <c r="B50">
        <v>62.700001</v>
      </c>
      <c r="C50">
        <v>63.119999</v>
      </c>
      <c r="D50">
        <v>62.57</v>
      </c>
      <c r="E50">
        <v>62.959999000000003</v>
      </c>
      <c r="F50">
        <v>23097600</v>
      </c>
      <c r="G50">
        <v>62.580604000000001</v>
      </c>
      <c r="H50">
        <f t="shared" si="0"/>
        <v>3.5064869777978735E-3</v>
      </c>
    </row>
    <row r="51" spans="1:8" x14ac:dyDescent="0.2">
      <c r="A51" s="20">
        <v>42755</v>
      </c>
      <c r="B51">
        <v>62.669998</v>
      </c>
      <c r="C51">
        <v>62.82</v>
      </c>
      <c r="D51">
        <v>62.369999</v>
      </c>
      <c r="E51">
        <v>62.740001999999997</v>
      </c>
      <c r="F51">
        <v>30213500</v>
      </c>
      <c r="G51">
        <v>62.361932000000003</v>
      </c>
      <c r="H51">
        <f t="shared" si="0"/>
        <v>7.0626485884854873E-3</v>
      </c>
    </row>
    <row r="52" spans="1:8" x14ac:dyDescent="0.2">
      <c r="A52" s="20">
        <v>42754</v>
      </c>
      <c r="B52">
        <v>62.240001999999997</v>
      </c>
      <c r="C52">
        <v>62.98</v>
      </c>
      <c r="D52">
        <v>62.200001</v>
      </c>
      <c r="E52">
        <v>62.299999</v>
      </c>
      <c r="F52">
        <v>18451700</v>
      </c>
      <c r="G52">
        <v>61.924581000000003</v>
      </c>
      <c r="H52">
        <f t="shared" si="0"/>
        <v>-3.2000159999999722E-3</v>
      </c>
    </row>
    <row r="53" spans="1:8" x14ac:dyDescent="0.2">
      <c r="A53" s="20">
        <v>42753</v>
      </c>
      <c r="B53">
        <v>62.669998</v>
      </c>
      <c r="C53">
        <v>62.700001</v>
      </c>
      <c r="D53">
        <v>62.119999</v>
      </c>
      <c r="E53">
        <v>62.5</v>
      </c>
      <c r="F53">
        <v>19670100</v>
      </c>
      <c r="G53">
        <v>62.123376999999998</v>
      </c>
      <c r="H53">
        <f t="shared" si="0"/>
        <v>-4.7975372588759946E-4</v>
      </c>
    </row>
    <row r="54" spans="1:8" x14ac:dyDescent="0.2">
      <c r="A54" s="20">
        <v>42752</v>
      </c>
      <c r="B54">
        <v>62.68</v>
      </c>
      <c r="C54">
        <v>62.700001</v>
      </c>
      <c r="D54">
        <v>62.029998999999997</v>
      </c>
      <c r="E54">
        <v>62.529998999999997</v>
      </c>
      <c r="F54">
        <v>20664000</v>
      </c>
      <c r="G54">
        <v>62.153194999999997</v>
      </c>
      <c r="H54">
        <f t="shared" si="0"/>
        <v>-2.7113556186387777E-3</v>
      </c>
    </row>
    <row r="55" spans="1:8" x14ac:dyDescent="0.2">
      <c r="A55" s="20">
        <v>42748</v>
      </c>
      <c r="B55">
        <v>62.619999</v>
      </c>
      <c r="C55">
        <v>62.869999</v>
      </c>
      <c r="D55">
        <v>62.349997999999999</v>
      </c>
      <c r="E55">
        <v>62.700001</v>
      </c>
      <c r="F55">
        <v>19422300</v>
      </c>
      <c r="G55">
        <v>62.322172000000002</v>
      </c>
      <c r="H55">
        <f t="shared" si="0"/>
        <v>1.4374700297481446E-3</v>
      </c>
    </row>
    <row r="56" spans="1:8" x14ac:dyDescent="0.2">
      <c r="A56" s="20">
        <v>42747</v>
      </c>
      <c r="B56">
        <v>63.060001</v>
      </c>
      <c r="C56">
        <v>63.400002000000001</v>
      </c>
      <c r="D56">
        <v>61.950001</v>
      </c>
      <c r="E56">
        <v>62.610000999999997</v>
      </c>
      <c r="F56">
        <v>20968200</v>
      </c>
      <c r="G56">
        <v>62.232714999999999</v>
      </c>
      <c r="H56">
        <f t="shared" si="0"/>
        <v>-9.1786360053590643E-3</v>
      </c>
    </row>
    <row r="57" spans="1:8" x14ac:dyDescent="0.2">
      <c r="A57" s="20">
        <v>42746</v>
      </c>
      <c r="B57">
        <v>62.610000999999997</v>
      </c>
      <c r="C57">
        <v>63.23</v>
      </c>
      <c r="D57">
        <v>62.43</v>
      </c>
      <c r="E57">
        <v>63.189999</v>
      </c>
      <c r="F57">
        <v>21517300</v>
      </c>
      <c r="G57">
        <v>62.809218000000001</v>
      </c>
      <c r="H57">
        <f t="shared" si="0"/>
        <v>9.1025233009025541E-3</v>
      </c>
    </row>
    <row r="58" spans="1:8" x14ac:dyDescent="0.2">
      <c r="A58" s="20">
        <v>42745</v>
      </c>
      <c r="B58">
        <v>62.73</v>
      </c>
      <c r="C58">
        <v>63.07</v>
      </c>
      <c r="D58">
        <v>62.279998999999997</v>
      </c>
      <c r="E58">
        <v>62.619999</v>
      </c>
      <c r="F58">
        <v>18593000</v>
      </c>
      <c r="G58">
        <v>62.242652999999997</v>
      </c>
      <c r="H58">
        <f t="shared" si="0"/>
        <v>-3.1928480714060736E-4</v>
      </c>
    </row>
    <row r="59" spans="1:8" x14ac:dyDescent="0.2">
      <c r="A59" s="20">
        <v>42744</v>
      </c>
      <c r="B59">
        <v>62.759998000000003</v>
      </c>
      <c r="C59">
        <v>63.080002</v>
      </c>
      <c r="D59">
        <v>62.540000999999997</v>
      </c>
      <c r="E59">
        <v>62.639999000000003</v>
      </c>
      <c r="F59">
        <v>20256600</v>
      </c>
      <c r="G59">
        <v>62.262532999999998</v>
      </c>
      <c r="H59">
        <f t="shared" si="0"/>
        <v>-3.1827021005729206E-3</v>
      </c>
    </row>
    <row r="60" spans="1:8" x14ac:dyDescent="0.2">
      <c r="A60" s="20">
        <v>42741</v>
      </c>
      <c r="B60">
        <v>62.299999</v>
      </c>
      <c r="C60">
        <v>63.150002000000001</v>
      </c>
      <c r="D60">
        <v>62.040000999999997</v>
      </c>
      <c r="E60">
        <v>62.84</v>
      </c>
      <c r="F60">
        <v>19922900</v>
      </c>
      <c r="G60">
        <v>62.461328000000002</v>
      </c>
      <c r="H60">
        <f t="shared" si="0"/>
        <v>8.6677529481180571E-3</v>
      </c>
    </row>
    <row r="61" spans="1:8" x14ac:dyDescent="0.2">
      <c r="A61" s="20">
        <v>42740</v>
      </c>
      <c r="B61">
        <v>62.189999</v>
      </c>
      <c r="C61">
        <v>62.66</v>
      </c>
      <c r="D61">
        <v>62.029998999999997</v>
      </c>
      <c r="E61">
        <v>62.299999</v>
      </c>
      <c r="F61">
        <v>24876000</v>
      </c>
      <c r="G61">
        <v>61.924581000000003</v>
      </c>
      <c r="H61">
        <f t="shared" si="0"/>
        <v>0</v>
      </c>
    </row>
    <row r="62" spans="1:8" x14ac:dyDescent="0.2">
      <c r="A62" s="20">
        <v>42739</v>
      </c>
      <c r="B62">
        <v>62.48</v>
      </c>
      <c r="C62">
        <v>62.75</v>
      </c>
      <c r="D62">
        <v>62.119999</v>
      </c>
      <c r="E62">
        <v>62.299999</v>
      </c>
      <c r="F62">
        <v>21340000</v>
      </c>
      <c r="G62">
        <v>61.924581000000003</v>
      </c>
      <c r="H62">
        <f t="shared" si="0"/>
        <v>-4.4743207262920581E-3</v>
      </c>
    </row>
    <row r="63" spans="1:8" x14ac:dyDescent="0.2">
      <c r="A63" s="20">
        <v>42738</v>
      </c>
      <c r="B63">
        <v>62.790000999999997</v>
      </c>
      <c r="C63">
        <v>62.84</v>
      </c>
      <c r="D63">
        <v>62.130001</v>
      </c>
      <c r="E63">
        <v>62.580002</v>
      </c>
      <c r="F63">
        <v>20694100</v>
      </c>
      <c r="G63">
        <v>62.202897</v>
      </c>
      <c r="H63">
        <f t="shared" si="0"/>
        <v>7.0808337154946166E-3</v>
      </c>
    </row>
    <row r="64" spans="1:8" x14ac:dyDescent="0.2">
      <c r="A64" s="20">
        <v>42734</v>
      </c>
      <c r="B64">
        <v>62.959999000000003</v>
      </c>
      <c r="C64">
        <v>62.990001999999997</v>
      </c>
      <c r="D64">
        <v>62.029998999999997</v>
      </c>
      <c r="E64">
        <v>62.139999000000003</v>
      </c>
      <c r="F64">
        <v>25579900</v>
      </c>
      <c r="G64">
        <v>61.765546000000001</v>
      </c>
      <c r="H64">
        <f t="shared" si="0"/>
        <v>-1.2082718216765653E-2</v>
      </c>
    </row>
    <row r="65" spans="1:8" x14ac:dyDescent="0.2">
      <c r="A65" s="20">
        <v>42733</v>
      </c>
      <c r="B65">
        <v>62.860000999999997</v>
      </c>
      <c r="C65">
        <v>63.200001</v>
      </c>
      <c r="D65">
        <v>62.73</v>
      </c>
      <c r="E65">
        <v>62.900002000000001</v>
      </c>
      <c r="F65">
        <v>10250600</v>
      </c>
      <c r="G65">
        <v>62.520968000000003</v>
      </c>
      <c r="H65">
        <f t="shared" si="0"/>
        <v>-1.4287981765740421E-3</v>
      </c>
    </row>
    <row r="66" spans="1:8" x14ac:dyDescent="0.2">
      <c r="A66" s="20">
        <v>42732</v>
      </c>
      <c r="B66">
        <v>63.400002000000001</v>
      </c>
      <c r="C66">
        <v>63.400002000000001</v>
      </c>
      <c r="D66">
        <v>62.830002</v>
      </c>
      <c r="E66">
        <v>62.990001999999997</v>
      </c>
      <c r="F66">
        <v>14653300</v>
      </c>
      <c r="G66">
        <v>62.610425999999997</v>
      </c>
      <c r="H66">
        <f t="shared" si="0"/>
        <v>-4.5827592380335291E-3</v>
      </c>
    </row>
    <row r="67" spans="1:8" x14ac:dyDescent="0.2">
      <c r="A67" s="20">
        <v>42731</v>
      </c>
      <c r="B67">
        <v>63.209999000000003</v>
      </c>
      <c r="C67">
        <v>64.069999999999993</v>
      </c>
      <c r="D67">
        <v>63.209999000000003</v>
      </c>
      <c r="E67">
        <v>63.279998999999997</v>
      </c>
      <c r="F67">
        <v>11763200</v>
      </c>
      <c r="G67">
        <v>62.898674999999997</v>
      </c>
      <c r="H67">
        <f t="shared" ref="H67:H130" si="1">E67/E68-1</f>
        <v>6.3246361061142231E-4</v>
      </c>
    </row>
    <row r="68" spans="1:8" x14ac:dyDescent="0.2">
      <c r="A68" s="20">
        <v>42727</v>
      </c>
      <c r="B68">
        <v>63.450001</v>
      </c>
      <c r="C68">
        <v>63.540000999999997</v>
      </c>
      <c r="D68">
        <v>62.799999</v>
      </c>
      <c r="E68">
        <v>63.240001999999997</v>
      </c>
      <c r="F68">
        <v>12403800</v>
      </c>
      <c r="G68">
        <v>62.858919</v>
      </c>
      <c r="H68">
        <f t="shared" si="1"/>
        <v>-4.8780016503227053E-3</v>
      </c>
    </row>
    <row r="69" spans="1:8" x14ac:dyDescent="0.2">
      <c r="A69" s="20">
        <v>42726</v>
      </c>
      <c r="B69">
        <v>63.84</v>
      </c>
      <c r="C69">
        <v>64.099997999999999</v>
      </c>
      <c r="D69">
        <v>63.41</v>
      </c>
      <c r="E69">
        <v>63.549999</v>
      </c>
      <c r="F69">
        <v>22176600</v>
      </c>
      <c r="G69">
        <v>63.167048999999999</v>
      </c>
      <c r="H69">
        <f t="shared" si="1"/>
        <v>1.5734969849945379E-4</v>
      </c>
    </row>
    <row r="70" spans="1:8" x14ac:dyDescent="0.2">
      <c r="A70" s="20">
        <v>42725</v>
      </c>
      <c r="B70">
        <v>63.43</v>
      </c>
      <c r="C70">
        <v>63.700001</v>
      </c>
      <c r="D70">
        <v>63.119999</v>
      </c>
      <c r="E70">
        <v>63.540000999999997</v>
      </c>
      <c r="F70">
        <v>17096300</v>
      </c>
      <c r="G70">
        <v>63.157111</v>
      </c>
      <c r="H70">
        <f t="shared" si="1"/>
        <v>0</v>
      </c>
    </row>
    <row r="71" spans="1:8" x14ac:dyDescent="0.2">
      <c r="A71" s="20">
        <v>42724</v>
      </c>
      <c r="B71">
        <v>63.689999</v>
      </c>
      <c r="C71">
        <v>63.799999</v>
      </c>
      <c r="D71">
        <v>63.029998999999997</v>
      </c>
      <c r="E71">
        <v>63.540000999999997</v>
      </c>
      <c r="F71">
        <v>26028400</v>
      </c>
      <c r="G71">
        <v>63.157111</v>
      </c>
      <c r="H71">
        <f t="shared" si="1"/>
        <v>-1.257434788705436E-3</v>
      </c>
    </row>
    <row r="72" spans="1:8" x14ac:dyDescent="0.2">
      <c r="A72" s="20">
        <v>42723</v>
      </c>
      <c r="B72">
        <v>62.560001</v>
      </c>
      <c r="C72">
        <v>63.77</v>
      </c>
      <c r="D72">
        <v>62.419998</v>
      </c>
      <c r="E72">
        <v>63.619999</v>
      </c>
      <c r="F72">
        <v>34338200</v>
      </c>
      <c r="G72">
        <v>63.236626999999999</v>
      </c>
      <c r="H72">
        <f t="shared" si="1"/>
        <v>2.1187801303174991E-2</v>
      </c>
    </row>
    <row r="73" spans="1:8" x14ac:dyDescent="0.2">
      <c r="A73" s="20">
        <v>42720</v>
      </c>
      <c r="B73">
        <v>62.950001</v>
      </c>
      <c r="C73">
        <v>62.950001</v>
      </c>
      <c r="D73">
        <v>62.119999</v>
      </c>
      <c r="E73">
        <v>62.299999</v>
      </c>
      <c r="F73">
        <v>42453100</v>
      </c>
      <c r="G73">
        <v>61.924581000000003</v>
      </c>
      <c r="H73">
        <f t="shared" si="1"/>
        <v>-4.4743207262920581E-3</v>
      </c>
    </row>
    <row r="74" spans="1:8" x14ac:dyDescent="0.2">
      <c r="A74" s="20">
        <v>42719</v>
      </c>
      <c r="B74">
        <v>62.700001</v>
      </c>
      <c r="C74">
        <v>63.150002000000001</v>
      </c>
      <c r="D74">
        <v>62.299999</v>
      </c>
      <c r="E74">
        <v>62.580002</v>
      </c>
      <c r="F74">
        <v>27669900</v>
      </c>
      <c r="G74">
        <v>62.202897</v>
      </c>
      <c r="H74">
        <f t="shared" si="1"/>
        <v>-1.5953733248245117E-3</v>
      </c>
    </row>
    <row r="75" spans="1:8" x14ac:dyDescent="0.2">
      <c r="A75" s="20">
        <v>42718</v>
      </c>
      <c r="B75">
        <v>63</v>
      </c>
      <c r="C75">
        <v>63.450001</v>
      </c>
      <c r="D75">
        <v>62.529998999999997</v>
      </c>
      <c r="E75">
        <v>62.68</v>
      </c>
      <c r="F75">
        <v>30352700</v>
      </c>
      <c r="G75">
        <v>62.302292999999999</v>
      </c>
      <c r="H75">
        <f t="shared" si="1"/>
        <v>-4.7634169577642771E-3</v>
      </c>
    </row>
    <row r="76" spans="1:8" x14ac:dyDescent="0.2">
      <c r="A76" s="20">
        <v>42717</v>
      </c>
      <c r="B76">
        <v>62.5</v>
      </c>
      <c r="C76">
        <v>63.419998</v>
      </c>
      <c r="D76">
        <v>62.240001999999997</v>
      </c>
      <c r="E76">
        <v>62.98</v>
      </c>
      <c r="F76">
        <v>35718900</v>
      </c>
      <c r="G76">
        <v>62.600484000000002</v>
      </c>
      <c r="H76">
        <f t="shared" si="1"/>
        <v>1.3028824610867629E-2</v>
      </c>
    </row>
    <row r="77" spans="1:8" x14ac:dyDescent="0.2">
      <c r="A77" s="20">
        <v>42716</v>
      </c>
      <c r="B77">
        <v>61.82</v>
      </c>
      <c r="C77">
        <v>62.299999</v>
      </c>
      <c r="D77">
        <v>61.720001000000003</v>
      </c>
      <c r="E77">
        <v>62.169998</v>
      </c>
      <c r="F77">
        <v>20198100</v>
      </c>
      <c r="G77">
        <v>61.795363999999999</v>
      </c>
      <c r="H77">
        <f t="shared" si="1"/>
        <v>3.2273196187295738E-3</v>
      </c>
    </row>
    <row r="78" spans="1:8" x14ac:dyDescent="0.2">
      <c r="A78" s="20">
        <v>42713</v>
      </c>
      <c r="B78">
        <v>61.18</v>
      </c>
      <c r="C78">
        <v>61.990001999999997</v>
      </c>
      <c r="D78">
        <v>61.130001</v>
      </c>
      <c r="E78">
        <v>61.970001000000003</v>
      </c>
      <c r="F78">
        <v>27349400</v>
      </c>
      <c r="G78">
        <v>61.596572000000002</v>
      </c>
      <c r="H78">
        <f t="shared" si="1"/>
        <v>1.5735175077370211E-2</v>
      </c>
    </row>
    <row r="79" spans="1:8" x14ac:dyDescent="0.2">
      <c r="A79" s="20">
        <v>42712</v>
      </c>
      <c r="B79">
        <v>61.299999</v>
      </c>
      <c r="C79">
        <v>61.580002</v>
      </c>
      <c r="D79">
        <v>60.84</v>
      </c>
      <c r="E79">
        <v>61.009998000000003</v>
      </c>
      <c r="F79">
        <v>21220800</v>
      </c>
      <c r="G79">
        <v>60.642353999999997</v>
      </c>
      <c r="H79">
        <f t="shared" si="1"/>
        <v>-5.8660747248829859E-3</v>
      </c>
    </row>
    <row r="80" spans="1:8" x14ac:dyDescent="0.2">
      <c r="A80" s="20">
        <v>42711</v>
      </c>
      <c r="B80">
        <v>60.009998000000003</v>
      </c>
      <c r="C80">
        <v>61.380001</v>
      </c>
      <c r="D80">
        <v>59.799999</v>
      </c>
      <c r="E80">
        <v>61.369999</v>
      </c>
      <c r="F80">
        <v>30809000</v>
      </c>
      <c r="G80">
        <v>61.000185000000002</v>
      </c>
      <c r="H80">
        <f t="shared" si="1"/>
        <v>2.3686371581545185E-2</v>
      </c>
    </row>
    <row r="81" spans="1:8" x14ac:dyDescent="0.2">
      <c r="A81" s="20">
        <v>42710</v>
      </c>
      <c r="B81">
        <v>60.43</v>
      </c>
      <c r="C81">
        <v>60.459999000000003</v>
      </c>
      <c r="D81">
        <v>59.799999</v>
      </c>
      <c r="E81">
        <v>59.950001</v>
      </c>
      <c r="F81">
        <v>19907000</v>
      </c>
      <c r="G81">
        <v>59.588743999999998</v>
      </c>
      <c r="H81">
        <f t="shared" si="1"/>
        <v>-4.4835602045241174E-3</v>
      </c>
    </row>
    <row r="82" spans="1:8" x14ac:dyDescent="0.2">
      <c r="A82" s="20">
        <v>42709</v>
      </c>
      <c r="B82">
        <v>59.700001</v>
      </c>
      <c r="C82">
        <v>60.59</v>
      </c>
      <c r="D82">
        <v>59.560001</v>
      </c>
      <c r="E82">
        <v>60.220001000000003</v>
      </c>
      <c r="F82">
        <v>23552700</v>
      </c>
      <c r="G82">
        <v>59.857117000000002</v>
      </c>
      <c r="H82">
        <f t="shared" si="1"/>
        <v>1.637132489451476E-2</v>
      </c>
    </row>
    <row r="83" spans="1:8" x14ac:dyDescent="0.2">
      <c r="A83" s="20">
        <v>42706</v>
      </c>
      <c r="B83">
        <v>59.080002</v>
      </c>
      <c r="C83">
        <v>59.470001000000003</v>
      </c>
      <c r="D83">
        <v>58.799999</v>
      </c>
      <c r="E83">
        <v>59.25</v>
      </c>
      <c r="F83">
        <v>25515700</v>
      </c>
      <c r="G83">
        <v>58.892961</v>
      </c>
      <c r="H83">
        <f t="shared" si="1"/>
        <v>8.4457768843626546E-4</v>
      </c>
    </row>
    <row r="84" spans="1:8" x14ac:dyDescent="0.2">
      <c r="A84" s="20">
        <v>42705</v>
      </c>
      <c r="B84">
        <v>60.110000999999997</v>
      </c>
      <c r="C84">
        <v>60.150002000000001</v>
      </c>
      <c r="D84">
        <v>58.939999</v>
      </c>
      <c r="E84">
        <v>59.200001</v>
      </c>
      <c r="F84">
        <v>34542100</v>
      </c>
      <c r="G84">
        <v>58.843263</v>
      </c>
      <c r="H84">
        <f t="shared" si="1"/>
        <v>-1.7590392220059536E-2</v>
      </c>
    </row>
    <row r="85" spans="1:8" x14ac:dyDescent="0.2">
      <c r="A85" s="20">
        <v>42704</v>
      </c>
      <c r="B85">
        <v>60.860000999999997</v>
      </c>
      <c r="C85">
        <v>61.18</v>
      </c>
      <c r="D85">
        <v>60.220001000000003</v>
      </c>
      <c r="E85">
        <v>60.259998000000003</v>
      </c>
      <c r="F85">
        <v>34655400</v>
      </c>
      <c r="G85">
        <v>59.896872999999999</v>
      </c>
      <c r="H85">
        <f t="shared" si="1"/>
        <v>-1.3586544442625637E-2</v>
      </c>
    </row>
    <row r="86" spans="1:8" x14ac:dyDescent="0.2">
      <c r="A86" s="20">
        <v>42703</v>
      </c>
      <c r="B86">
        <v>60.650002000000001</v>
      </c>
      <c r="C86">
        <v>61.41</v>
      </c>
      <c r="D86">
        <v>60.52</v>
      </c>
      <c r="E86">
        <v>61.09</v>
      </c>
      <c r="F86">
        <v>22366700</v>
      </c>
      <c r="G86">
        <v>60.721874</v>
      </c>
      <c r="H86">
        <f t="shared" si="1"/>
        <v>7.9194686038697171E-3</v>
      </c>
    </row>
    <row r="87" spans="1:8" x14ac:dyDescent="0.2">
      <c r="A87" s="20">
        <v>42702</v>
      </c>
      <c r="B87">
        <v>60.34</v>
      </c>
      <c r="C87">
        <v>61.02</v>
      </c>
      <c r="D87">
        <v>60.209999000000003</v>
      </c>
      <c r="E87">
        <v>60.610000999999997</v>
      </c>
      <c r="F87">
        <v>20732600</v>
      </c>
      <c r="G87">
        <v>60.244767000000003</v>
      </c>
      <c r="H87">
        <f t="shared" si="1"/>
        <v>1.3216917449478949E-3</v>
      </c>
    </row>
    <row r="88" spans="1:8" x14ac:dyDescent="0.2">
      <c r="A88" s="20">
        <v>42699</v>
      </c>
      <c r="B88">
        <v>60.299999</v>
      </c>
      <c r="C88">
        <v>60.529998999999997</v>
      </c>
      <c r="D88">
        <v>60.130001</v>
      </c>
      <c r="E88">
        <v>60.529998999999997</v>
      </c>
      <c r="F88">
        <v>8409600</v>
      </c>
      <c r="G88">
        <v>60.165247000000001</v>
      </c>
      <c r="H88">
        <f t="shared" si="1"/>
        <v>2.1522681406533906E-3</v>
      </c>
    </row>
    <row r="89" spans="1:8" x14ac:dyDescent="0.2">
      <c r="A89" s="20">
        <v>42697</v>
      </c>
      <c r="B89">
        <v>61.009998000000003</v>
      </c>
      <c r="C89">
        <v>61.099997999999999</v>
      </c>
      <c r="D89">
        <v>60.25</v>
      </c>
      <c r="E89">
        <v>60.400002000000001</v>
      </c>
      <c r="F89">
        <v>21848900</v>
      </c>
      <c r="G89">
        <v>60.036033000000003</v>
      </c>
      <c r="H89">
        <f t="shared" si="1"/>
        <v>-1.1780055821008717E-2</v>
      </c>
    </row>
    <row r="90" spans="1:8" x14ac:dyDescent="0.2">
      <c r="A90" s="20">
        <v>42696</v>
      </c>
      <c r="B90">
        <v>60.98</v>
      </c>
      <c r="C90">
        <v>61.259998000000003</v>
      </c>
      <c r="D90">
        <v>60.810001</v>
      </c>
      <c r="E90">
        <v>61.119999</v>
      </c>
      <c r="F90">
        <v>23206700</v>
      </c>
      <c r="G90">
        <v>60.751691999999998</v>
      </c>
      <c r="H90">
        <f t="shared" si="1"/>
        <v>4.2720669689111368E-3</v>
      </c>
    </row>
    <row r="91" spans="1:8" x14ac:dyDescent="0.2">
      <c r="A91" s="20">
        <v>42695</v>
      </c>
      <c r="B91">
        <v>60.5</v>
      </c>
      <c r="C91">
        <v>60.970001000000003</v>
      </c>
      <c r="D91">
        <v>60.419998</v>
      </c>
      <c r="E91">
        <v>60.860000999999997</v>
      </c>
      <c r="F91">
        <v>19652600</v>
      </c>
      <c r="G91">
        <v>60.493259999999999</v>
      </c>
      <c r="H91">
        <f t="shared" si="1"/>
        <v>8.4507542154350634E-3</v>
      </c>
    </row>
    <row r="92" spans="1:8" x14ac:dyDescent="0.2">
      <c r="A92" s="20">
        <v>42692</v>
      </c>
      <c r="B92">
        <v>60.779998999999997</v>
      </c>
      <c r="C92">
        <v>61.139999000000003</v>
      </c>
      <c r="D92">
        <v>60.299999</v>
      </c>
      <c r="E92">
        <v>60.349997999999999</v>
      </c>
      <c r="F92">
        <v>27686300</v>
      </c>
      <c r="G92">
        <v>59.986331</v>
      </c>
      <c r="H92">
        <f t="shared" si="1"/>
        <v>-4.7823384693658211E-3</v>
      </c>
    </row>
    <row r="93" spans="1:8" x14ac:dyDescent="0.2">
      <c r="A93" s="20">
        <v>42691</v>
      </c>
      <c r="B93">
        <v>60.41</v>
      </c>
      <c r="C93">
        <v>60.950001</v>
      </c>
      <c r="D93">
        <v>59.970001000000003</v>
      </c>
      <c r="E93">
        <v>60.639999000000003</v>
      </c>
      <c r="F93">
        <v>32132700</v>
      </c>
      <c r="G93">
        <v>60.274585000000002</v>
      </c>
      <c r="H93">
        <f t="shared" si="1"/>
        <v>1.6596763902874789E-2</v>
      </c>
    </row>
    <row r="94" spans="1:8" x14ac:dyDescent="0.2">
      <c r="A94" s="20">
        <v>42690</v>
      </c>
      <c r="B94">
        <v>58.939999</v>
      </c>
      <c r="C94">
        <v>59.66</v>
      </c>
      <c r="D94">
        <v>58.810001</v>
      </c>
      <c r="E94">
        <v>59.650002000000001</v>
      </c>
      <c r="F94">
        <v>27332500</v>
      </c>
      <c r="G94">
        <v>59.290551999999998</v>
      </c>
      <c r="H94">
        <f t="shared" si="1"/>
        <v>1.3249584053840469E-2</v>
      </c>
    </row>
    <row r="95" spans="1:8" x14ac:dyDescent="0.2">
      <c r="A95" s="20">
        <v>42689</v>
      </c>
      <c r="B95">
        <v>58.330002</v>
      </c>
      <c r="C95">
        <v>59.490001999999997</v>
      </c>
      <c r="D95">
        <v>58.32</v>
      </c>
      <c r="E95">
        <v>58.869999</v>
      </c>
      <c r="F95">
        <v>35904100</v>
      </c>
      <c r="G95">
        <v>58.515250000000002</v>
      </c>
      <c r="H95">
        <f t="shared" si="1"/>
        <v>1.2904336078876977E-2</v>
      </c>
    </row>
    <row r="96" spans="1:8" x14ac:dyDescent="0.2">
      <c r="A96" s="20">
        <v>42688</v>
      </c>
      <c r="B96">
        <v>59.02</v>
      </c>
      <c r="C96">
        <v>59.080002</v>
      </c>
      <c r="D96">
        <v>57.279998999999997</v>
      </c>
      <c r="E96">
        <v>58.119999</v>
      </c>
      <c r="F96">
        <v>41328400</v>
      </c>
      <c r="G96">
        <v>57.38212</v>
      </c>
      <c r="H96">
        <f t="shared" si="1"/>
        <v>-1.524908505591327E-2</v>
      </c>
    </row>
    <row r="97" spans="1:8" x14ac:dyDescent="0.2">
      <c r="A97" s="20">
        <v>42685</v>
      </c>
      <c r="B97">
        <v>58.23</v>
      </c>
      <c r="C97">
        <v>59.119999</v>
      </c>
      <c r="D97">
        <v>58.009998000000003</v>
      </c>
      <c r="E97">
        <v>59.02</v>
      </c>
      <c r="F97">
        <v>38767800</v>
      </c>
      <c r="G97">
        <v>58.270695000000003</v>
      </c>
      <c r="H97">
        <f t="shared" si="1"/>
        <v>5.4514309122415394E-3</v>
      </c>
    </row>
    <row r="98" spans="1:8" x14ac:dyDescent="0.2">
      <c r="A98" s="20">
        <v>42684</v>
      </c>
      <c r="B98">
        <v>60.48</v>
      </c>
      <c r="C98">
        <v>60.490001999999997</v>
      </c>
      <c r="D98">
        <v>57.630001</v>
      </c>
      <c r="E98">
        <v>58.700001</v>
      </c>
      <c r="F98">
        <v>57822400</v>
      </c>
      <c r="G98">
        <v>57.954757999999998</v>
      </c>
      <c r="H98">
        <f t="shared" si="1"/>
        <v>-2.4430730411524992E-2</v>
      </c>
    </row>
    <row r="99" spans="1:8" x14ac:dyDescent="0.2">
      <c r="A99" s="20">
        <v>42683</v>
      </c>
      <c r="B99">
        <v>60</v>
      </c>
      <c r="C99">
        <v>60.59</v>
      </c>
      <c r="D99">
        <v>59.200001</v>
      </c>
      <c r="E99">
        <v>60.169998</v>
      </c>
      <c r="F99">
        <v>49632500</v>
      </c>
      <c r="G99">
        <v>59.406092999999998</v>
      </c>
      <c r="H99">
        <f t="shared" si="1"/>
        <v>-4.9611872835921833E-3</v>
      </c>
    </row>
    <row r="100" spans="1:8" x14ac:dyDescent="0.2">
      <c r="A100" s="20">
        <v>42682</v>
      </c>
      <c r="B100">
        <v>60.549999</v>
      </c>
      <c r="C100">
        <v>60.779998999999997</v>
      </c>
      <c r="D100">
        <v>60.150002000000001</v>
      </c>
      <c r="E100">
        <v>60.470001000000003</v>
      </c>
      <c r="F100">
        <v>22935400</v>
      </c>
      <c r="G100">
        <v>59.702286999999998</v>
      </c>
      <c r="H100">
        <f t="shared" si="1"/>
        <v>8.2759022931444548E-4</v>
      </c>
    </row>
    <row r="101" spans="1:8" x14ac:dyDescent="0.2">
      <c r="A101" s="20">
        <v>42681</v>
      </c>
      <c r="B101">
        <v>59.779998999999997</v>
      </c>
      <c r="C101">
        <v>60.52</v>
      </c>
      <c r="D101">
        <v>59.779998999999997</v>
      </c>
      <c r="E101">
        <v>60.419998</v>
      </c>
      <c r="F101">
        <v>31664800</v>
      </c>
      <c r="G101">
        <v>59.652918999999997</v>
      </c>
      <c r="H101">
        <f t="shared" si="1"/>
        <v>2.9126197055462377E-2</v>
      </c>
    </row>
    <row r="102" spans="1:8" x14ac:dyDescent="0.2">
      <c r="A102" s="20">
        <v>42678</v>
      </c>
      <c r="B102">
        <v>58.650002000000001</v>
      </c>
      <c r="C102">
        <v>59.279998999999997</v>
      </c>
      <c r="D102">
        <v>58.52</v>
      </c>
      <c r="E102">
        <v>58.709999000000003</v>
      </c>
      <c r="F102">
        <v>28697000</v>
      </c>
      <c r="G102">
        <v>57.964629000000002</v>
      </c>
      <c r="H102">
        <f t="shared" si="1"/>
        <v>-8.444519649459914E-3</v>
      </c>
    </row>
    <row r="103" spans="1:8" x14ac:dyDescent="0.2">
      <c r="A103" s="20">
        <v>42677</v>
      </c>
      <c r="B103">
        <v>59.529998999999997</v>
      </c>
      <c r="C103">
        <v>59.639999000000003</v>
      </c>
      <c r="D103">
        <v>59.110000999999997</v>
      </c>
      <c r="E103">
        <v>59.209999000000003</v>
      </c>
      <c r="F103">
        <v>21600400</v>
      </c>
      <c r="G103">
        <v>58.458280999999999</v>
      </c>
      <c r="H103">
        <f t="shared" si="1"/>
        <v>-3.7018509170452241E-3</v>
      </c>
    </row>
    <row r="104" spans="1:8" x14ac:dyDescent="0.2">
      <c r="A104" s="20">
        <v>42676</v>
      </c>
      <c r="B104">
        <v>59.82</v>
      </c>
      <c r="C104">
        <v>59.93</v>
      </c>
      <c r="D104">
        <v>59.299999</v>
      </c>
      <c r="E104">
        <v>59.43</v>
      </c>
      <c r="F104">
        <v>22147000</v>
      </c>
      <c r="G104">
        <v>58.675490000000003</v>
      </c>
      <c r="H104">
        <f t="shared" si="1"/>
        <v>-6.1872743509577832E-3</v>
      </c>
    </row>
    <row r="105" spans="1:8" x14ac:dyDescent="0.2">
      <c r="A105" s="20">
        <v>42675</v>
      </c>
      <c r="B105">
        <v>59.970001000000003</v>
      </c>
      <c r="C105">
        <v>60.02</v>
      </c>
      <c r="D105">
        <v>59.25</v>
      </c>
      <c r="E105">
        <v>59.799999</v>
      </c>
      <c r="F105">
        <v>24533000</v>
      </c>
      <c r="G105">
        <v>59.040790999999999</v>
      </c>
      <c r="H105">
        <f t="shared" si="1"/>
        <v>-2.0026536048949328E-3</v>
      </c>
    </row>
    <row r="106" spans="1:8" x14ac:dyDescent="0.2">
      <c r="A106" s="20">
        <v>42674</v>
      </c>
      <c r="B106">
        <v>60.16</v>
      </c>
      <c r="C106">
        <v>60.419998</v>
      </c>
      <c r="D106">
        <v>59.919998</v>
      </c>
      <c r="E106">
        <v>59.919998</v>
      </c>
      <c r="F106">
        <v>26434700</v>
      </c>
      <c r="G106">
        <v>59.159266000000002</v>
      </c>
      <c r="H106">
        <f t="shared" si="1"/>
        <v>8.3512612051328539E-4</v>
      </c>
    </row>
    <row r="107" spans="1:8" x14ac:dyDescent="0.2">
      <c r="A107" s="20">
        <v>42671</v>
      </c>
      <c r="B107">
        <v>60.009998000000003</v>
      </c>
      <c r="C107">
        <v>60.52</v>
      </c>
      <c r="D107">
        <v>59.580002</v>
      </c>
      <c r="E107">
        <v>59.869999</v>
      </c>
      <c r="F107">
        <v>33574700</v>
      </c>
      <c r="G107">
        <v>59.109901999999998</v>
      </c>
      <c r="H107">
        <f t="shared" si="1"/>
        <v>-3.8269385632924147E-3</v>
      </c>
    </row>
    <row r="108" spans="1:8" x14ac:dyDescent="0.2">
      <c r="A108" s="20">
        <v>42670</v>
      </c>
      <c r="B108">
        <v>60.610000999999997</v>
      </c>
      <c r="C108">
        <v>60.830002</v>
      </c>
      <c r="D108">
        <v>60.09</v>
      </c>
      <c r="E108">
        <v>60.099997999999999</v>
      </c>
      <c r="F108">
        <v>28479900</v>
      </c>
      <c r="G108">
        <v>59.336981999999999</v>
      </c>
      <c r="H108">
        <f t="shared" si="1"/>
        <v>-8.7415964251756906E-3</v>
      </c>
    </row>
    <row r="109" spans="1:8" x14ac:dyDescent="0.2">
      <c r="A109" s="20">
        <v>42669</v>
      </c>
      <c r="B109">
        <v>60.810001</v>
      </c>
      <c r="C109">
        <v>61.200001</v>
      </c>
      <c r="D109">
        <v>60.470001000000003</v>
      </c>
      <c r="E109">
        <v>60.630001</v>
      </c>
      <c r="F109">
        <v>29911600</v>
      </c>
      <c r="G109">
        <v>59.860255000000002</v>
      </c>
      <c r="H109">
        <f t="shared" si="1"/>
        <v>-5.9026231873217094E-3</v>
      </c>
    </row>
    <row r="110" spans="1:8" x14ac:dyDescent="0.2">
      <c r="A110" s="20">
        <v>42668</v>
      </c>
      <c r="B110">
        <v>60.849997999999999</v>
      </c>
      <c r="C110">
        <v>61.369999</v>
      </c>
      <c r="D110">
        <v>60.799999</v>
      </c>
      <c r="E110">
        <v>60.990001999999997</v>
      </c>
      <c r="F110">
        <v>35137200</v>
      </c>
      <c r="G110">
        <v>60.215685000000001</v>
      </c>
      <c r="H110">
        <f t="shared" si="1"/>
        <v>-1.6390163934432156E-4</v>
      </c>
    </row>
    <row r="111" spans="1:8" x14ac:dyDescent="0.2">
      <c r="A111" s="20">
        <v>42667</v>
      </c>
      <c r="B111">
        <v>59.939999</v>
      </c>
      <c r="C111">
        <v>61</v>
      </c>
      <c r="D111">
        <v>59.93</v>
      </c>
      <c r="E111">
        <v>61</v>
      </c>
      <c r="F111">
        <v>54067000</v>
      </c>
      <c r="G111">
        <v>60.225557000000002</v>
      </c>
      <c r="H111">
        <f t="shared" si="1"/>
        <v>2.2460610124036329E-2</v>
      </c>
    </row>
    <row r="112" spans="1:8" x14ac:dyDescent="0.2">
      <c r="A112" s="20">
        <v>42664</v>
      </c>
      <c r="B112">
        <v>60.279998999999997</v>
      </c>
      <c r="C112">
        <v>60.450001</v>
      </c>
      <c r="D112">
        <v>59.490001999999997</v>
      </c>
      <c r="E112">
        <v>59.66</v>
      </c>
      <c r="F112">
        <v>80032200</v>
      </c>
      <c r="G112">
        <v>58.902569</v>
      </c>
      <c r="H112">
        <f t="shared" si="1"/>
        <v>4.2096069868995611E-2</v>
      </c>
    </row>
    <row r="113" spans="1:8" x14ac:dyDescent="0.2">
      <c r="A113" s="20">
        <v>42663</v>
      </c>
      <c r="B113">
        <v>57.5</v>
      </c>
      <c r="C113">
        <v>57.52</v>
      </c>
      <c r="D113">
        <v>56.66</v>
      </c>
      <c r="E113">
        <v>57.25</v>
      </c>
      <c r="F113">
        <v>49455600</v>
      </c>
      <c r="G113">
        <v>56.523166000000003</v>
      </c>
      <c r="H113">
        <f t="shared" si="1"/>
        <v>-4.8670086018947067E-3</v>
      </c>
    </row>
    <row r="114" spans="1:8" x14ac:dyDescent="0.2">
      <c r="A114" s="20">
        <v>42662</v>
      </c>
      <c r="B114">
        <v>57.470001000000003</v>
      </c>
      <c r="C114">
        <v>57.84</v>
      </c>
      <c r="D114">
        <v>57.400002000000001</v>
      </c>
      <c r="E114">
        <v>57.529998999999997</v>
      </c>
      <c r="F114">
        <v>22878400</v>
      </c>
      <c r="G114">
        <v>56.799610000000001</v>
      </c>
      <c r="H114">
        <f t="shared" si="1"/>
        <v>-2.25461325008669E-3</v>
      </c>
    </row>
    <row r="115" spans="1:8" x14ac:dyDescent="0.2">
      <c r="A115" s="20">
        <v>42661</v>
      </c>
      <c r="B115">
        <v>57.529998999999997</v>
      </c>
      <c r="C115">
        <v>57.950001</v>
      </c>
      <c r="D115">
        <v>57.41</v>
      </c>
      <c r="E115">
        <v>57.66</v>
      </c>
      <c r="F115">
        <v>19149500</v>
      </c>
      <c r="G115">
        <v>56.927961000000003</v>
      </c>
      <c r="H115">
        <f t="shared" si="1"/>
        <v>7.6896014035370275E-3</v>
      </c>
    </row>
    <row r="116" spans="1:8" x14ac:dyDescent="0.2">
      <c r="A116" s="20">
        <v>42660</v>
      </c>
      <c r="B116">
        <v>57.360000999999997</v>
      </c>
      <c r="C116">
        <v>57.459999000000003</v>
      </c>
      <c r="D116">
        <v>56.869999</v>
      </c>
      <c r="E116">
        <v>57.220001000000003</v>
      </c>
      <c r="F116">
        <v>23830000</v>
      </c>
      <c r="G116">
        <v>56.493547999999997</v>
      </c>
      <c r="H116">
        <f t="shared" si="1"/>
        <v>-3.4830548060972299E-3</v>
      </c>
    </row>
    <row r="117" spans="1:8" x14ac:dyDescent="0.2">
      <c r="A117" s="20">
        <v>42657</v>
      </c>
      <c r="B117">
        <v>57.119999</v>
      </c>
      <c r="C117">
        <v>57.740001999999997</v>
      </c>
      <c r="D117">
        <v>57.119999</v>
      </c>
      <c r="E117">
        <v>57.419998</v>
      </c>
      <c r="F117">
        <v>27402500</v>
      </c>
      <c r="G117">
        <v>56.691006000000002</v>
      </c>
      <c r="H117">
        <f t="shared" si="1"/>
        <v>8.7842589172262286E-3</v>
      </c>
    </row>
    <row r="118" spans="1:8" x14ac:dyDescent="0.2">
      <c r="A118" s="20">
        <v>42656</v>
      </c>
      <c r="B118">
        <v>56.700001</v>
      </c>
      <c r="C118">
        <v>57.299999</v>
      </c>
      <c r="D118">
        <v>56.32</v>
      </c>
      <c r="E118">
        <v>56.919998</v>
      </c>
      <c r="F118">
        <v>25313700</v>
      </c>
      <c r="G118">
        <v>56.197353999999997</v>
      </c>
      <c r="H118">
        <f t="shared" si="1"/>
        <v>-3.326965446910024E-3</v>
      </c>
    </row>
    <row r="119" spans="1:8" x14ac:dyDescent="0.2">
      <c r="A119" s="20">
        <v>42655</v>
      </c>
      <c r="B119">
        <v>57.110000999999997</v>
      </c>
      <c r="C119">
        <v>57.27</v>
      </c>
      <c r="D119">
        <v>56.400002000000001</v>
      </c>
      <c r="E119">
        <v>57.110000999999997</v>
      </c>
      <c r="F119">
        <v>22177500</v>
      </c>
      <c r="G119">
        <v>56.384943999999997</v>
      </c>
      <c r="H119">
        <f t="shared" si="1"/>
        <v>-1.398811005399847E-3</v>
      </c>
    </row>
    <row r="120" spans="1:8" x14ac:dyDescent="0.2">
      <c r="A120" s="20">
        <v>42654</v>
      </c>
      <c r="B120">
        <v>57.889999000000003</v>
      </c>
      <c r="C120">
        <v>58.02</v>
      </c>
      <c r="D120">
        <v>56.889999000000003</v>
      </c>
      <c r="E120">
        <v>57.189999</v>
      </c>
      <c r="F120">
        <v>26497400</v>
      </c>
      <c r="G120">
        <v>56.463926000000001</v>
      </c>
      <c r="H120">
        <f t="shared" si="1"/>
        <v>-1.4645106570552846E-2</v>
      </c>
    </row>
    <row r="121" spans="1:8" x14ac:dyDescent="0.2">
      <c r="A121" s="20">
        <v>42653</v>
      </c>
      <c r="B121">
        <v>57.91</v>
      </c>
      <c r="C121">
        <v>58.389999000000003</v>
      </c>
      <c r="D121">
        <v>57.869999</v>
      </c>
      <c r="E121">
        <v>58.040000999999997</v>
      </c>
      <c r="F121">
        <v>18196500</v>
      </c>
      <c r="G121">
        <v>57.303137</v>
      </c>
      <c r="H121">
        <f t="shared" si="1"/>
        <v>4.152283808863011E-3</v>
      </c>
    </row>
    <row r="122" spans="1:8" x14ac:dyDescent="0.2">
      <c r="A122" s="20">
        <v>42650</v>
      </c>
      <c r="B122">
        <v>57.849997999999999</v>
      </c>
      <c r="C122">
        <v>57.98</v>
      </c>
      <c r="D122">
        <v>57.419998</v>
      </c>
      <c r="E122">
        <v>57.799999</v>
      </c>
      <c r="F122">
        <v>20089000</v>
      </c>
      <c r="G122">
        <v>57.066183000000002</v>
      </c>
      <c r="H122">
        <f t="shared" si="1"/>
        <v>1.0390889837517125E-3</v>
      </c>
    </row>
    <row r="123" spans="1:8" x14ac:dyDescent="0.2">
      <c r="A123" s="20">
        <v>42649</v>
      </c>
      <c r="B123">
        <v>57.740001999999997</v>
      </c>
      <c r="C123">
        <v>57.860000999999997</v>
      </c>
      <c r="D123">
        <v>57.279998999999997</v>
      </c>
      <c r="E123">
        <v>57.740001999999997</v>
      </c>
      <c r="F123">
        <v>16212600</v>
      </c>
      <c r="G123">
        <v>57.006946999999997</v>
      </c>
      <c r="H123">
        <f t="shared" si="1"/>
        <v>1.7349583923482736E-3</v>
      </c>
    </row>
    <row r="124" spans="1:8" x14ac:dyDescent="0.2">
      <c r="A124" s="20">
        <v>42648</v>
      </c>
      <c r="B124">
        <v>57.290000999999997</v>
      </c>
      <c r="C124">
        <v>57.959999000000003</v>
      </c>
      <c r="D124">
        <v>57.259998000000003</v>
      </c>
      <c r="E124">
        <v>57.639999000000003</v>
      </c>
      <c r="F124">
        <v>16726400</v>
      </c>
      <c r="G124">
        <v>56.908214000000001</v>
      </c>
      <c r="H124">
        <f t="shared" si="1"/>
        <v>6.9880675405986636E-3</v>
      </c>
    </row>
    <row r="125" spans="1:8" x14ac:dyDescent="0.2">
      <c r="A125" s="20">
        <v>42647</v>
      </c>
      <c r="B125">
        <v>57.27</v>
      </c>
      <c r="C125">
        <v>57.599997999999999</v>
      </c>
      <c r="D125">
        <v>56.970001000000003</v>
      </c>
      <c r="E125">
        <v>57.240001999999997</v>
      </c>
      <c r="F125">
        <v>20085900</v>
      </c>
      <c r="G125">
        <v>56.513294999999999</v>
      </c>
      <c r="H125">
        <f t="shared" si="1"/>
        <v>-3.1347266852917999E-3</v>
      </c>
    </row>
    <row r="126" spans="1:8" x14ac:dyDescent="0.2">
      <c r="A126" s="20">
        <v>42646</v>
      </c>
      <c r="B126">
        <v>57.41</v>
      </c>
      <c r="C126">
        <v>57.549999</v>
      </c>
      <c r="D126">
        <v>57.060001</v>
      </c>
      <c r="E126">
        <v>57.419998</v>
      </c>
      <c r="F126">
        <v>19189500</v>
      </c>
      <c r="G126">
        <v>56.691006000000002</v>
      </c>
      <c r="H126">
        <f t="shared" si="1"/>
        <v>-3.1250001085069146E-3</v>
      </c>
    </row>
    <row r="127" spans="1:8" x14ac:dyDescent="0.2">
      <c r="A127" s="20">
        <v>42643</v>
      </c>
      <c r="B127">
        <v>57.57</v>
      </c>
      <c r="C127">
        <v>57.77</v>
      </c>
      <c r="D127">
        <v>57.34</v>
      </c>
      <c r="E127">
        <v>57.599997999999999</v>
      </c>
      <c r="F127">
        <v>29910800</v>
      </c>
      <c r="G127">
        <v>56.868721000000001</v>
      </c>
      <c r="H127">
        <f t="shared" si="1"/>
        <v>3.4842507496777309E-3</v>
      </c>
    </row>
    <row r="128" spans="1:8" x14ac:dyDescent="0.2">
      <c r="A128" s="20">
        <v>42642</v>
      </c>
      <c r="B128">
        <v>57.810001</v>
      </c>
      <c r="C128">
        <v>58.169998</v>
      </c>
      <c r="D128">
        <v>57.209999000000003</v>
      </c>
      <c r="E128">
        <v>57.400002000000001</v>
      </c>
      <c r="F128">
        <v>25463500</v>
      </c>
      <c r="G128">
        <v>56.671263000000003</v>
      </c>
      <c r="H128">
        <f t="shared" si="1"/>
        <v>-1.0856402048188829E-2</v>
      </c>
    </row>
    <row r="129" spans="1:8" x14ac:dyDescent="0.2">
      <c r="A129" s="20">
        <v>42641</v>
      </c>
      <c r="B129">
        <v>57.880001</v>
      </c>
      <c r="C129">
        <v>58.060001</v>
      </c>
      <c r="D129">
        <v>57.669998</v>
      </c>
      <c r="E129">
        <v>58.029998999999997</v>
      </c>
      <c r="F129">
        <v>20536400</v>
      </c>
      <c r="G129">
        <v>57.293261999999999</v>
      </c>
      <c r="H129">
        <f t="shared" si="1"/>
        <v>1.3804658950737903E-3</v>
      </c>
    </row>
    <row r="130" spans="1:8" x14ac:dyDescent="0.2">
      <c r="A130" s="20">
        <v>42640</v>
      </c>
      <c r="B130">
        <v>56.93</v>
      </c>
      <c r="C130">
        <v>58.060001</v>
      </c>
      <c r="D130">
        <v>56.68</v>
      </c>
      <c r="E130">
        <v>57.950001</v>
      </c>
      <c r="F130">
        <v>28065100</v>
      </c>
      <c r="G130">
        <v>57.214280000000002</v>
      </c>
      <c r="H130">
        <f t="shared" si="1"/>
        <v>1.8453408841707875E-2</v>
      </c>
    </row>
    <row r="131" spans="1:8" x14ac:dyDescent="0.2">
      <c r="A131" s="20">
        <v>42639</v>
      </c>
      <c r="B131">
        <v>57.080002</v>
      </c>
      <c r="C131">
        <v>57.139999000000003</v>
      </c>
      <c r="D131">
        <v>56.830002</v>
      </c>
      <c r="E131">
        <v>56.900002000000001</v>
      </c>
      <c r="F131">
        <v>21688700</v>
      </c>
      <c r="G131">
        <v>56.177610999999999</v>
      </c>
      <c r="H131">
        <f t="shared" ref="H131:H194" si="2">E131/E132-1</f>
        <v>-9.2285913285738985E-3</v>
      </c>
    </row>
    <row r="132" spans="1:8" x14ac:dyDescent="0.2">
      <c r="A132" s="20">
        <v>42636</v>
      </c>
      <c r="B132">
        <v>57.869999</v>
      </c>
      <c r="C132">
        <v>57.91</v>
      </c>
      <c r="D132">
        <v>57.380001</v>
      </c>
      <c r="E132">
        <v>57.43</v>
      </c>
      <c r="F132">
        <v>19955300</v>
      </c>
      <c r="G132">
        <v>56.700881000000003</v>
      </c>
      <c r="H132">
        <f t="shared" si="2"/>
        <v>-6.7450709097198747E-3</v>
      </c>
    </row>
    <row r="133" spans="1:8" x14ac:dyDescent="0.2">
      <c r="A133" s="20">
        <v>42635</v>
      </c>
      <c r="B133">
        <v>57.919998</v>
      </c>
      <c r="C133">
        <v>58</v>
      </c>
      <c r="D133">
        <v>57.630001</v>
      </c>
      <c r="E133">
        <v>57.82</v>
      </c>
      <c r="F133">
        <v>19822200</v>
      </c>
      <c r="G133">
        <v>57.085929</v>
      </c>
      <c r="H133">
        <f t="shared" si="2"/>
        <v>1.0388158254437396E-3</v>
      </c>
    </row>
    <row r="134" spans="1:8" x14ac:dyDescent="0.2">
      <c r="A134" s="20">
        <v>42634</v>
      </c>
      <c r="B134">
        <v>57.509998000000003</v>
      </c>
      <c r="C134">
        <v>57.849997999999999</v>
      </c>
      <c r="D134">
        <v>57.080002</v>
      </c>
      <c r="E134">
        <v>57.759998000000003</v>
      </c>
      <c r="F134">
        <v>33707300</v>
      </c>
      <c r="G134">
        <v>57.026690000000002</v>
      </c>
      <c r="H134">
        <f t="shared" si="2"/>
        <v>1.6722354924795679E-2</v>
      </c>
    </row>
    <row r="135" spans="1:8" x14ac:dyDescent="0.2">
      <c r="A135" s="20">
        <v>42633</v>
      </c>
      <c r="B135">
        <v>57.349997999999999</v>
      </c>
      <c r="C135">
        <v>57.349997999999999</v>
      </c>
      <c r="D135">
        <v>56.75</v>
      </c>
      <c r="E135">
        <v>56.810001</v>
      </c>
      <c r="F135">
        <v>17384000</v>
      </c>
      <c r="G135">
        <v>56.088754000000002</v>
      </c>
      <c r="H135">
        <f t="shared" si="2"/>
        <v>-2.1078341823291824E-3</v>
      </c>
    </row>
    <row r="136" spans="1:8" x14ac:dyDescent="0.2">
      <c r="A136" s="20">
        <v>42632</v>
      </c>
      <c r="B136">
        <v>57.27</v>
      </c>
      <c r="C136">
        <v>57.75</v>
      </c>
      <c r="D136">
        <v>56.849997999999999</v>
      </c>
      <c r="E136">
        <v>56.93</v>
      </c>
      <c r="F136">
        <v>20937100</v>
      </c>
      <c r="G136">
        <v>56.207228999999998</v>
      </c>
      <c r="H136">
        <f t="shared" si="2"/>
        <v>-5.5895196506550171E-3</v>
      </c>
    </row>
    <row r="137" spans="1:8" x14ac:dyDescent="0.2">
      <c r="A137" s="20">
        <v>42629</v>
      </c>
      <c r="B137">
        <v>57.630001</v>
      </c>
      <c r="C137">
        <v>57.630001</v>
      </c>
      <c r="D137">
        <v>56.75</v>
      </c>
      <c r="E137">
        <v>57.25</v>
      </c>
      <c r="F137">
        <v>44607000</v>
      </c>
      <c r="G137">
        <v>56.523166000000003</v>
      </c>
      <c r="H137">
        <f t="shared" si="2"/>
        <v>1.0491519679864947E-3</v>
      </c>
    </row>
    <row r="138" spans="1:8" x14ac:dyDescent="0.2">
      <c r="A138" s="20">
        <v>42628</v>
      </c>
      <c r="B138">
        <v>56.150002000000001</v>
      </c>
      <c r="C138">
        <v>57.349997999999999</v>
      </c>
      <c r="D138">
        <v>55.98</v>
      </c>
      <c r="E138">
        <v>57.189999</v>
      </c>
      <c r="F138">
        <v>26847000</v>
      </c>
      <c r="G138">
        <v>56.463926000000001</v>
      </c>
      <c r="H138">
        <f t="shared" si="2"/>
        <v>1.6530412958777552E-2</v>
      </c>
    </row>
    <row r="139" spans="1:8" x14ac:dyDescent="0.2">
      <c r="A139" s="20">
        <v>42627</v>
      </c>
      <c r="B139">
        <v>56.389999000000003</v>
      </c>
      <c r="C139">
        <v>56.630001</v>
      </c>
      <c r="D139">
        <v>56.029998999999997</v>
      </c>
      <c r="E139">
        <v>56.259998000000003</v>
      </c>
      <c r="F139">
        <v>24062500</v>
      </c>
      <c r="G139">
        <v>55.545732999999998</v>
      </c>
      <c r="H139">
        <f t="shared" si="2"/>
        <v>-4.7762427874799007E-3</v>
      </c>
    </row>
    <row r="140" spans="1:8" x14ac:dyDescent="0.2">
      <c r="A140" s="20">
        <v>42626</v>
      </c>
      <c r="B140">
        <v>56.5</v>
      </c>
      <c r="C140">
        <v>56.650002000000001</v>
      </c>
      <c r="D140">
        <v>56.049999</v>
      </c>
      <c r="E140">
        <v>56.529998999999997</v>
      </c>
      <c r="F140">
        <v>30130200</v>
      </c>
      <c r="G140">
        <v>55.812306</v>
      </c>
      <c r="H140">
        <f t="shared" si="2"/>
        <v>-9.1148117285682062E-3</v>
      </c>
    </row>
    <row r="141" spans="1:8" x14ac:dyDescent="0.2">
      <c r="A141" s="20">
        <v>42625</v>
      </c>
      <c r="B141">
        <v>56</v>
      </c>
      <c r="C141">
        <v>57.209999000000003</v>
      </c>
      <c r="D141">
        <v>55.610000999999997</v>
      </c>
      <c r="E141">
        <v>57.049999</v>
      </c>
      <c r="F141">
        <v>29303000</v>
      </c>
      <c r="G141">
        <v>56.325704000000002</v>
      </c>
      <c r="H141">
        <f t="shared" si="2"/>
        <v>1.4943960415298996E-2</v>
      </c>
    </row>
    <row r="142" spans="1:8" x14ac:dyDescent="0.2">
      <c r="A142" s="20">
        <v>42622</v>
      </c>
      <c r="B142">
        <v>56.790000999999997</v>
      </c>
      <c r="C142">
        <v>57.52</v>
      </c>
      <c r="D142">
        <v>56.209999000000003</v>
      </c>
      <c r="E142">
        <v>56.209999000000003</v>
      </c>
      <c r="F142">
        <v>35113900</v>
      </c>
      <c r="G142">
        <v>55.496369000000001</v>
      </c>
      <c r="H142">
        <f t="shared" si="2"/>
        <v>-2.1243270067908715E-2</v>
      </c>
    </row>
    <row r="143" spans="1:8" x14ac:dyDescent="0.2">
      <c r="A143" s="20">
        <v>42621</v>
      </c>
      <c r="B143">
        <v>57.630001</v>
      </c>
      <c r="C143">
        <v>57.790000999999997</v>
      </c>
      <c r="D143">
        <v>57.18</v>
      </c>
      <c r="E143">
        <v>57.43</v>
      </c>
      <c r="F143">
        <v>20146100</v>
      </c>
      <c r="G143">
        <v>56.700881000000003</v>
      </c>
      <c r="H143">
        <f t="shared" si="2"/>
        <v>-3.9889004509191528E-3</v>
      </c>
    </row>
    <row r="144" spans="1:8" x14ac:dyDescent="0.2">
      <c r="A144" s="20">
        <v>42620</v>
      </c>
      <c r="B144">
        <v>57.470001000000003</v>
      </c>
      <c r="C144">
        <v>57.84</v>
      </c>
      <c r="D144">
        <v>57.41</v>
      </c>
      <c r="E144">
        <v>57.66</v>
      </c>
      <c r="F144">
        <v>17493400</v>
      </c>
      <c r="G144">
        <v>56.927961000000003</v>
      </c>
      <c r="H144">
        <f t="shared" si="2"/>
        <v>8.6788750446298302E-4</v>
      </c>
    </row>
    <row r="145" spans="1:8" x14ac:dyDescent="0.2">
      <c r="A145" s="20">
        <v>42619</v>
      </c>
      <c r="B145">
        <v>57.779998999999997</v>
      </c>
      <c r="C145">
        <v>57.799999</v>
      </c>
      <c r="D145">
        <v>57.209999000000003</v>
      </c>
      <c r="E145">
        <v>57.610000999999997</v>
      </c>
      <c r="F145">
        <v>16278400</v>
      </c>
      <c r="G145">
        <v>56.878596000000002</v>
      </c>
      <c r="H145">
        <f t="shared" si="2"/>
        <v>-1.0403503048500573E-3</v>
      </c>
    </row>
    <row r="146" spans="1:8" x14ac:dyDescent="0.2">
      <c r="A146" s="20">
        <v>42615</v>
      </c>
      <c r="B146">
        <v>57.669998</v>
      </c>
      <c r="C146">
        <v>58.189999</v>
      </c>
      <c r="D146">
        <v>57.419998</v>
      </c>
      <c r="E146">
        <v>57.669998</v>
      </c>
      <c r="F146">
        <v>18900500</v>
      </c>
      <c r="G146">
        <v>56.937832</v>
      </c>
      <c r="H146">
        <f t="shared" si="2"/>
        <v>1.3890953290500718E-3</v>
      </c>
    </row>
    <row r="147" spans="1:8" x14ac:dyDescent="0.2">
      <c r="A147" s="20">
        <v>42614</v>
      </c>
      <c r="B147">
        <v>57.009998000000003</v>
      </c>
      <c r="C147">
        <v>57.82</v>
      </c>
      <c r="D147">
        <v>57.009998000000003</v>
      </c>
      <c r="E147">
        <v>57.59</v>
      </c>
      <c r="F147">
        <v>26075400</v>
      </c>
      <c r="G147">
        <v>56.858849999999997</v>
      </c>
      <c r="H147">
        <f t="shared" si="2"/>
        <v>2.2624608816996794E-3</v>
      </c>
    </row>
    <row r="148" spans="1:8" x14ac:dyDescent="0.2">
      <c r="A148" s="20">
        <v>42613</v>
      </c>
      <c r="B148">
        <v>57.650002000000001</v>
      </c>
      <c r="C148">
        <v>57.799999</v>
      </c>
      <c r="D148">
        <v>57.299999</v>
      </c>
      <c r="E148">
        <v>57.459999000000003</v>
      </c>
      <c r="F148">
        <v>20860300</v>
      </c>
      <c r="G148">
        <v>56.730499000000002</v>
      </c>
      <c r="H148">
        <f t="shared" si="2"/>
        <v>-7.4278805912572077E-3</v>
      </c>
    </row>
    <row r="149" spans="1:8" x14ac:dyDescent="0.2">
      <c r="A149" s="20">
        <v>42612</v>
      </c>
      <c r="B149">
        <v>57.98</v>
      </c>
      <c r="C149">
        <v>58.189999</v>
      </c>
      <c r="D149">
        <v>57.610000999999997</v>
      </c>
      <c r="E149">
        <v>57.889999000000003</v>
      </c>
      <c r="F149">
        <v>16930200</v>
      </c>
      <c r="G149">
        <v>57.15504</v>
      </c>
      <c r="H149">
        <f t="shared" si="2"/>
        <v>-3.6144407440426018E-3</v>
      </c>
    </row>
    <row r="150" spans="1:8" x14ac:dyDescent="0.2">
      <c r="A150" s="20">
        <v>42611</v>
      </c>
      <c r="B150">
        <v>58.18</v>
      </c>
      <c r="C150">
        <v>58.599997999999999</v>
      </c>
      <c r="D150">
        <v>58.099997999999999</v>
      </c>
      <c r="E150">
        <v>58.099997999999999</v>
      </c>
      <c r="F150">
        <v>16417200</v>
      </c>
      <c r="G150">
        <v>57.362372999999998</v>
      </c>
      <c r="H150">
        <f t="shared" si="2"/>
        <v>1.2062554059324437E-3</v>
      </c>
    </row>
    <row r="151" spans="1:8" x14ac:dyDescent="0.2">
      <c r="A151" s="20">
        <v>42608</v>
      </c>
      <c r="B151">
        <v>58.279998999999997</v>
      </c>
      <c r="C151">
        <v>58.700001</v>
      </c>
      <c r="D151">
        <v>57.689999</v>
      </c>
      <c r="E151">
        <v>58.029998999999997</v>
      </c>
      <c r="F151">
        <v>20971200</v>
      </c>
      <c r="G151">
        <v>57.293261999999999</v>
      </c>
      <c r="H151">
        <f t="shared" si="2"/>
        <v>-2.4067217605887592E-3</v>
      </c>
    </row>
    <row r="152" spans="1:8" x14ac:dyDescent="0.2">
      <c r="A152" s="20">
        <v>42607</v>
      </c>
      <c r="B152">
        <v>57.880001</v>
      </c>
      <c r="C152">
        <v>58.290000999999997</v>
      </c>
      <c r="D152">
        <v>57.779998999999997</v>
      </c>
      <c r="E152">
        <v>58.169998</v>
      </c>
      <c r="F152">
        <v>18552600</v>
      </c>
      <c r="G152">
        <v>57.431483999999998</v>
      </c>
      <c r="H152">
        <f t="shared" si="2"/>
        <v>3.7963243520910961E-3</v>
      </c>
    </row>
    <row r="153" spans="1:8" x14ac:dyDescent="0.2">
      <c r="A153" s="20">
        <v>42606</v>
      </c>
      <c r="B153">
        <v>57.799999</v>
      </c>
      <c r="C153">
        <v>58.040000999999997</v>
      </c>
      <c r="D153">
        <v>57.720001000000003</v>
      </c>
      <c r="E153">
        <v>57.950001</v>
      </c>
      <c r="F153">
        <v>18151500</v>
      </c>
      <c r="G153">
        <v>57.214280000000002</v>
      </c>
      <c r="H153">
        <f t="shared" si="2"/>
        <v>1.0364830028757321E-3</v>
      </c>
    </row>
    <row r="154" spans="1:8" x14ac:dyDescent="0.2">
      <c r="A154" s="20">
        <v>42605</v>
      </c>
      <c r="B154">
        <v>57.900002000000001</v>
      </c>
      <c r="C154">
        <v>58.18</v>
      </c>
      <c r="D154">
        <v>57.849997999999999</v>
      </c>
      <c r="E154">
        <v>57.889999000000003</v>
      </c>
      <c r="F154">
        <v>18732400</v>
      </c>
      <c r="G154">
        <v>57.15504</v>
      </c>
      <c r="H154">
        <f t="shared" si="2"/>
        <v>3.8148258649151057E-3</v>
      </c>
    </row>
    <row r="155" spans="1:8" x14ac:dyDescent="0.2">
      <c r="A155" s="20">
        <v>42604</v>
      </c>
      <c r="B155">
        <v>57.599997999999999</v>
      </c>
      <c r="C155">
        <v>57.75</v>
      </c>
      <c r="D155">
        <v>57.259998000000003</v>
      </c>
      <c r="E155">
        <v>57.669998</v>
      </c>
      <c r="F155">
        <v>15221900</v>
      </c>
      <c r="G155">
        <v>56.937832</v>
      </c>
      <c r="H155">
        <f t="shared" si="2"/>
        <v>8.6773691197050695E-4</v>
      </c>
    </row>
    <row r="156" spans="1:8" x14ac:dyDescent="0.2">
      <c r="A156" s="20">
        <v>42601</v>
      </c>
      <c r="B156">
        <v>57.43</v>
      </c>
      <c r="C156">
        <v>57.73</v>
      </c>
      <c r="D156">
        <v>57.200001</v>
      </c>
      <c r="E156">
        <v>57.619999</v>
      </c>
      <c r="F156">
        <v>17271000</v>
      </c>
      <c r="G156">
        <v>56.888468000000003</v>
      </c>
      <c r="H156">
        <f t="shared" si="2"/>
        <v>3.4723959539029181E-4</v>
      </c>
    </row>
    <row r="157" spans="1:8" x14ac:dyDescent="0.2">
      <c r="A157" s="20">
        <v>42600</v>
      </c>
      <c r="B157">
        <v>57.419998</v>
      </c>
      <c r="C157">
        <v>57.700001</v>
      </c>
      <c r="D157">
        <v>57.27</v>
      </c>
      <c r="E157">
        <v>57.599997999999999</v>
      </c>
      <c r="F157">
        <v>14214300</v>
      </c>
      <c r="G157">
        <v>56.868721000000001</v>
      </c>
      <c r="H157">
        <f t="shared" si="2"/>
        <v>6.9487490106201477E-4</v>
      </c>
    </row>
    <row r="158" spans="1:8" x14ac:dyDescent="0.2">
      <c r="A158" s="20">
        <v>42599</v>
      </c>
      <c r="B158">
        <v>57.540000999999997</v>
      </c>
      <c r="C158">
        <v>57.68</v>
      </c>
      <c r="D158">
        <v>57.23</v>
      </c>
      <c r="E158">
        <v>57.560001</v>
      </c>
      <c r="F158">
        <v>18856400</v>
      </c>
      <c r="G158">
        <v>56.829231999999998</v>
      </c>
      <c r="H158">
        <f t="shared" si="2"/>
        <v>2.089171345563523E-3</v>
      </c>
    </row>
    <row r="159" spans="1:8" x14ac:dyDescent="0.2">
      <c r="A159" s="20">
        <v>42598</v>
      </c>
      <c r="B159">
        <v>57.610000999999997</v>
      </c>
      <c r="C159">
        <v>57.619999</v>
      </c>
      <c r="D159">
        <v>57.27</v>
      </c>
      <c r="E159">
        <v>57.439999</v>
      </c>
      <c r="F159">
        <v>20523500</v>
      </c>
      <c r="G159">
        <v>56.710752999999997</v>
      </c>
      <c r="H159">
        <f t="shared" si="2"/>
        <v>-1.1699931378181927E-2</v>
      </c>
    </row>
    <row r="160" spans="1:8" x14ac:dyDescent="0.2">
      <c r="A160" s="20">
        <v>42597</v>
      </c>
      <c r="B160">
        <v>58.009998000000003</v>
      </c>
      <c r="C160">
        <v>58.5</v>
      </c>
      <c r="D160">
        <v>57.959999000000003</v>
      </c>
      <c r="E160">
        <v>58.119999</v>
      </c>
      <c r="F160">
        <v>19283900</v>
      </c>
      <c r="G160">
        <v>57.026691</v>
      </c>
      <c r="H160">
        <f t="shared" si="2"/>
        <v>3.1066621178228448E-3</v>
      </c>
    </row>
    <row r="161" spans="1:8" x14ac:dyDescent="0.2">
      <c r="A161" s="20">
        <v>42594</v>
      </c>
      <c r="B161">
        <v>58.029998999999997</v>
      </c>
      <c r="C161">
        <v>58.189999</v>
      </c>
      <c r="D161">
        <v>57.619999</v>
      </c>
      <c r="E161">
        <v>57.939999</v>
      </c>
      <c r="F161">
        <v>21655200</v>
      </c>
      <c r="G161">
        <v>56.850076000000001</v>
      </c>
      <c r="H161">
        <f t="shared" si="2"/>
        <v>-6.1749572242703055E-3</v>
      </c>
    </row>
    <row r="162" spans="1:8" x14ac:dyDescent="0.2">
      <c r="A162" s="20">
        <v>42593</v>
      </c>
      <c r="B162">
        <v>58.029998999999997</v>
      </c>
      <c r="C162">
        <v>58.450001</v>
      </c>
      <c r="D162">
        <v>58.029998999999997</v>
      </c>
      <c r="E162">
        <v>58.299999</v>
      </c>
      <c r="F162">
        <v>18162300</v>
      </c>
      <c r="G162">
        <v>57.203305</v>
      </c>
      <c r="H162">
        <f t="shared" si="2"/>
        <v>4.8259048603929156E-3</v>
      </c>
    </row>
    <row r="163" spans="1:8" x14ac:dyDescent="0.2">
      <c r="A163" s="20">
        <v>42592</v>
      </c>
      <c r="B163">
        <v>58.16</v>
      </c>
      <c r="C163">
        <v>58.32</v>
      </c>
      <c r="D163">
        <v>57.82</v>
      </c>
      <c r="E163">
        <v>58.02</v>
      </c>
      <c r="F163">
        <v>15756900</v>
      </c>
      <c r="G163">
        <v>56.928573</v>
      </c>
      <c r="H163">
        <f t="shared" si="2"/>
        <v>-3.0928006341442993E-3</v>
      </c>
    </row>
    <row r="164" spans="1:8" x14ac:dyDescent="0.2">
      <c r="A164" s="20">
        <v>42591</v>
      </c>
      <c r="B164">
        <v>58.169998</v>
      </c>
      <c r="C164">
        <v>58.5</v>
      </c>
      <c r="D164">
        <v>58.02</v>
      </c>
      <c r="E164">
        <v>58.200001</v>
      </c>
      <c r="F164">
        <v>16920700</v>
      </c>
      <c r="G164">
        <v>57.105187000000001</v>
      </c>
      <c r="H164">
        <f t="shared" si="2"/>
        <v>2.4112986150310878E-3</v>
      </c>
    </row>
    <row r="165" spans="1:8" x14ac:dyDescent="0.2">
      <c r="A165" s="20">
        <v>42590</v>
      </c>
      <c r="B165">
        <v>58.060001</v>
      </c>
      <c r="C165">
        <v>58.09</v>
      </c>
      <c r="D165">
        <v>57.779998999999997</v>
      </c>
      <c r="E165">
        <v>58.060001</v>
      </c>
      <c r="F165">
        <v>19473500</v>
      </c>
      <c r="G165">
        <v>56.967821999999998</v>
      </c>
      <c r="H165">
        <f t="shared" si="2"/>
        <v>1.72536234860865E-3</v>
      </c>
    </row>
    <row r="166" spans="1:8" x14ac:dyDescent="0.2">
      <c r="A166" s="20">
        <v>42587</v>
      </c>
      <c r="B166">
        <v>57.650002000000001</v>
      </c>
      <c r="C166">
        <v>58.209999000000003</v>
      </c>
      <c r="D166">
        <v>57.450001</v>
      </c>
      <c r="E166">
        <v>57.959999000000003</v>
      </c>
      <c r="F166">
        <v>29335200</v>
      </c>
      <c r="G166">
        <v>56.869700000000002</v>
      </c>
      <c r="H166">
        <f t="shared" si="2"/>
        <v>9.9320440831511814E-3</v>
      </c>
    </row>
    <row r="167" spans="1:8" x14ac:dyDescent="0.2">
      <c r="A167" s="20">
        <v>42586</v>
      </c>
      <c r="B167">
        <v>56.799999</v>
      </c>
      <c r="C167">
        <v>57.52</v>
      </c>
      <c r="D167">
        <v>56.669998</v>
      </c>
      <c r="E167">
        <v>57.389999000000003</v>
      </c>
      <c r="F167">
        <v>26587700</v>
      </c>
      <c r="G167">
        <v>56.310423</v>
      </c>
      <c r="H167">
        <f t="shared" si="2"/>
        <v>7.3722659755615094E-3</v>
      </c>
    </row>
    <row r="168" spans="1:8" x14ac:dyDescent="0.2">
      <c r="A168" s="20">
        <v>42585</v>
      </c>
      <c r="B168">
        <v>56.68</v>
      </c>
      <c r="C168">
        <v>57.110000999999997</v>
      </c>
      <c r="D168">
        <v>56.490001999999997</v>
      </c>
      <c r="E168">
        <v>56.970001000000003</v>
      </c>
      <c r="F168">
        <v>22075600</v>
      </c>
      <c r="G168">
        <v>55.898325999999997</v>
      </c>
      <c r="H168">
        <f t="shared" si="2"/>
        <v>6.8928770981662169E-3</v>
      </c>
    </row>
    <row r="169" spans="1:8" x14ac:dyDescent="0.2">
      <c r="A169" s="20">
        <v>42584</v>
      </c>
      <c r="B169">
        <v>56.849997999999999</v>
      </c>
      <c r="C169">
        <v>56.900002000000001</v>
      </c>
      <c r="D169">
        <v>56.310001</v>
      </c>
      <c r="E169">
        <v>56.580002</v>
      </c>
      <c r="F169">
        <v>35122000</v>
      </c>
      <c r="G169">
        <v>55.515663000000004</v>
      </c>
      <c r="H169">
        <f t="shared" si="2"/>
        <v>0</v>
      </c>
    </row>
    <row r="170" spans="1:8" x14ac:dyDescent="0.2">
      <c r="A170" s="20">
        <v>42583</v>
      </c>
      <c r="B170">
        <v>56.599997999999999</v>
      </c>
      <c r="C170">
        <v>56.75</v>
      </c>
      <c r="D170">
        <v>56.139999000000003</v>
      </c>
      <c r="E170">
        <v>56.580002</v>
      </c>
      <c r="F170">
        <v>26003400</v>
      </c>
      <c r="G170">
        <v>55.515663000000004</v>
      </c>
      <c r="H170">
        <f t="shared" si="2"/>
        <v>-1.7642554693013679E-3</v>
      </c>
    </row>
    <row r="171" spans="1:8" x14ac:dyDescent="0.2">
      <c r="A171" s="20">
        <v>42580</v>
      </c>
      <c r="B171">
        <v>56.259998000000003</v>
      </c>
      <c r="C171">
        <v>56.759998000000003</v>
      </c>
      <c r="D171">
        <v>56.049999</v>
      </c>
      <c r="E171">
        <v>56.68</v>
      </c>
      <c r="F171">
        <v>30558700</v>
      </c>
      <c r="G171">
        <v>55.613779999999998</v>
      </c>
      <c r="H171">
        <f t="shared" si="2"/>
        <v>8.3615194513702029E-3</v>
      </c>
    </row>
    <row r="172" spans="1:8" x14ac:dyDescent="0.2">
      <c r="A172" s="20">
        <v>42579</v>
      </c>
      <c r="B172">
        <v>56</v>
      </c>
      <c r="C172">
        <v>56.369999</v>
      </c>
      <c r="D172">
        <v>55.720001000000003</v>
      </c>
      <c r="E172">
        <v>56.209999000000003</v>
      </c>
      <c r="F172">
        <v>37550400</v>
      </c>
      <c r="G172">
        <v>55.152619999999999</v>
      </c>
      <c r="H172">
        <f t="shared" si="2"/>
        <v>3.5593522612464845E-4</v>
      </c>
    </row>
    <row r="173" spans="1:8" x14ac:dyDescent="0.2">
      <c r="A173" s="20">
        <v>42578</v>
      </c>
      <c r="B173">
        <v>56.610000999999997</v>
      </c>
      <c r="C173">
        <v>56.799999</v>
      </c>
      <c r="D173">
        <v>56.110000999999997</v>
      </c>
      <c r="E173">
        <v>56.189999</v>
      </c>
      <c r="F173">
        <v>32327500</v>
      </c>
      <c r="G173">
        <v>55.132995999999999</v>
      </c>
      <c r="H173">
        <f t="shared" si="2"/>
        <v>-1.0042266033906566E-2</v>
      </c>
    </row>
    <row r="174" spans="1:8" x14ac:dyDescent="0.2">
      <c r="A174" s="20">
        <v>42577</v>
      </c>
      <c r="B174">
        <v>56.52</v>
      </c>
      <c r="C174">
        <v>57.290000999999997</v>
      </c>
      <c r="D174">
        <v>56.509998000000003</v>
      </c>
      <c r="E174">
        <v>56.759998000000003</v>
      </c>
      <c r="F174">
        <v>28079000</v>
      </c>
      <c r="G174">
        <v>55.692273</v>
      </c>
      <c r="H174">
        <f t="shared" si="2"/>
        <v>5.2878547505730289E-4</v>
      </c>
    </row>
    <row r="175" spans="1:8" x14ac:dyDescent="0.2">
      <c r="A175" s="20">
        <v>42576</v>
      </c>
      <c r="B175">
        <v>56.470001000000003</v>
      </c>
      <c r="C175">
        <v>56.740001999999997</v>
      </c>
      <c r="D175">
        <v>56.259998000000003</v>
      </c>
      <c r="E175">
        <v>56.73</v>
      </c>
      <c r="F175">
        <v>25610600</v>
      </c>
      <c r="G175">
        <v>55.662838999999998</v>
      </c>
      <c r="H175">
        <f t="shared" si="2"/>
        <v>2.8283542513698468E-3</v>
      </c>
    </row>
    <row r="176" spans="1:8" x14ac:dyDescent="0.2">
      <c r="A176" s="20">
        <v>42573</v>
      </c>
      <c r="B176">
        <v>56.080002</v>
      </c>
      <c r="C176">
        <v>56.630001</v>
      </c>
      <c r="D176">
        <v>55.779998999999997</v>
      </c>
      <c r="E176">
        <v>56.57</v>
      </c>
      <c r="F176">
        <v>32157200</v>
      </c>
      <c r="G176">
        <v>55.505848999999998</v>
      </c>
      <c r="H176">
        <f t="shared" si="2"/>
        <v>1.3799301322568125E-2</v>
      </c>
    </row>
    <row r="177" spans="1:8" x14ac:dyDescent="0.2">
      <c r="A177" s="20">
        <v>42572</v>
      </c>
      <c r="B177">
        <v>55.98</v>
      </c>
      <c r="C177">
        <v>56.23</v>
      </c>
      <c r="D177">
        <v>55.759998000000003</v>
      </c>
      <c r="E177">
        <v>55.799999</v>
      </c>
      <c r="F177">
        <v>32776700</v>
      </c>
      <c r="G177">
        <v>54.750332999999998</v>
      </c>
      <c r="H177">
        <f t="shared" si="2"/>
        <v>-1.9674655696654275E-3</v>
      </c>
    </row>
    <row r="178" spans="1:8" x14ac:dyDescent="0.2">
      <c r="A178" s="20">
        <v>42571</v>
      </c>
      <c r="B178">
        <v>56.150002000000001</v>
      </c>
      <c r="C178">
        <v>56.84</v>
      </c>
      <c r="D178">
        <v>55.529998999999997</v>
      </c>
      <c r="E178">
        <v>55.91</v>
      </c>
      <c r="F178">
        <v>89893300</v>
      </c>
      <c r="G178">
        <v>54.858263999999998</v>
      </c>
      <c r="H178">
        <f t="shared" si="2"/>
        <v>5.3117347899792611E-2</v>
      </c>
    </row>
    <row r="179" spans="1:8" x14ac:dyDescent="0.2">
      <c r="A179" s="20">
        <v>42570</v>
      </c>
      <c r="B179">
        <v>53.709999000000003</v>
      </c>
      <c r="C179">
        <v>53.900002000000001</v>
      </c>
      <c r="D179">
        <v>52.93</v>
      </c>
      <c r="E179">
        <v>53.09</v>
      </c>
      <c r="F179">
        <v>53336500</v>
      </c>
      <c r="G179">
        <v>52.091312000000002</v>
      </c>
      <c r="H179">
        <f t="shared" si="2"/>
        <v>-1.6123035880708625E-2</v>
      </c>
    </row>
    <row r="180" spans="1:8" x14ac:dyDescent="0.2">
      <c r="A180" s="20">
        <v>42569</v>
      </c>
      <c r="B180">
        <v>53.700001</v>
      </c>
      <c r="C180">
        <v>54.34</v>
      </c>
      <c r="D180">
        <v>53.549999</v>
      </c>
      <c r="E180">
        <v>53.959999000000003</v>
      </c>
      <c r="F180">
        <v>31433900</v>
      </c>
      <c r="G180">
        <v>52.944944999999997</v>
      </c>
      <c r="H180">
        <f t="shared" si="2"/>
        <v>4.8416758874920696E-3</v>
      </c>
    </row>
    <row r="181" spans="1:8" x14ac:dyDescent="0.2">
      <c r="A181" s="20">
        <v>42566</v>
      </c>
      <c r="B181">
        <v>53.950001</v>
      </c>
      <c r="C181">
        <v>54</v>
      </c>
      <c r="D181">
        <v>53.209999000000003</v>
      </c>
      <c r="E181">
        <v>53.700001</v>
      </c>
      <c r="F181">
        <v>32024400</v>
      </c>
      <c r="G181">
        <v>52.689838000000002</v>
      </c>
      <c r="H181">
        <f t="shared" si="2"/>
        <v>-7.4434310590454356E-4</v>
      </c>
    </row>
    <row r="182" spans="1:8" x14ac:dyDescent="0.2">
      <c r="A182" s="20">
        <v>42565</v>
      </c>
      <c r="B182">
        <v>53.84</v>
      </c>
      <c r="C182">
        <v>53.990001999999997</v>
      </c>
      <c r="D182">
        <v>53.580002</v>
      </c>
      <c r="E182">
        <v>53.740001999999997</v>
      </c>
      <c r="F182">
        <v>24545500</v>
      </c>
      <c r="G182">
        <v>52.729086000000002</v>
      </c>
      <c r="H182">
        <f t="shared" si="2"/>
        <v>4.2983369201394783E-3</v>
      </c>
    </row>
    <row r="183" spans="1:8" x14ac:dyDescent="0.2">
      <c r="A183" s="20">
        <v>42564</v>
      </c>
      <c r="B183">
        <v>53.560001</v>
      </c>
      <c r="C183">
        <v>53.860000999999997</v>
      </c>
      <c r="D183">
        <v>53.18</v>
      </c>
      <c r="E183">
        <v>53.509998000000003</v>
      </c>
      <c r="F183">
        <v>25356800</v>
      </c>
      <c r="G183">
        <v>52.503410000000002</v>
      </c>
      <c r="H183">
        <f t="shared" si="2"/>
        <v>5.638019275286954E-3</v>
      </c>
    </row>
    <row r="184" spans="1:8" x14ac:dyDescent="0.2">
      <c r="A184" s="20">
        <v>42563</v>
      </c>
      <c r="B184">
        <v>52.939999</v>
      </c>
      <c r="C184">
        <v>53.400002000000001</v>
      </c>
      <c r="D184">
        <v>52.790000999999997</v>
      </c>
      <c r="E184">
        <v>53.209999000000003</v>
      </c>
      <c r="F184">
        <v>27317600</v>
      </c>
      <c r="G184">
        <v>52.209054000000002</v>
      </c>
      <c r="H184">
        <f t="shared" si="2"/>
        <v>1.1789294542688733E-2</v>
      </c>
    </row>
    <row r="185" spans="1:8" x14ac:dyDescent="0.2">
      <c r="A185" s="20">
        <v>42562</v>
      </c>
      <c r="B185">
        <v>52.5</v>
      </c>
      <c r="C185">
        <v>52.830002</v>
      </c>
      <c r="D185">
        <v>52.470001000000003</v>
      </c>
      <c r="E185">
        <v>52.59</v>
      </c>
      <c r="F185">
        <v>22269200</v>
      </c>
      <c r="G185">
        <v>51.600718000000001</v>
      </c>
      <c r="H185">
        <f t="shared" si="2"/>
        <v>5.5449523048749505E-3</v>
      </c>
    </row>
    <row r="186" spans="1:8" x14ac:dyDescent="0.2">
      <c r="A186" s="20">
        <v>42559</v>
      </c>
      <c r="B186">
        <v>51.73</v>
      </c>
      <c r="C186">
        <v>52.360000999999997</v>
      </c>
      <c r="D186">
        <v>51.549999</v>
      </c>
      <c r="E186">
        <v>52.299999</v>
      </c>
      <c r="F186">
        <v>28391000</v>
      </c>
      <c r="G186">
        <v>51.316172000000002</v>
      </c>
      <c r="H186">
        <f t="shared" si="2"/>
        <v>1.790576064799998E-2</v>
      </c>
    </row>
    <row r="187" spans="1:8" x14ac:dyDescent="0.2">
      <c r="A187" s="20">
        <v>42558</v>
      </c>
      <c r="B187">
        <v>51.419998</v>
      </c>
      <c r="C187">
        <v>51.610000999999997</v>
      </c>
      <c r="D187">
        <v>51.07</v>
      </c>
      <c r="E187">
        <v>51.380001</v>
      </c>
      <c r="F187">
        <v>19585200</v>
      </c>
      <c r="G187">
        <v>50.41348</v>
      </c>
      <c r="H187">
        <f t="shared" si="2"/>
        <v>0</v>
      </c>
    </row>
    <row r="188" spans="1:8" x14ac:dyDescent="0.2">
      <c r="A188" s="20">
        <v>42557</v>
      </c>
      <c r="B188">
        <v>50.779998999999997</v>
      </c>
      <c r="C188">
        <v>51.540000999999997</v>
      </c>
      <c r="D188">
        <v>50.389999000000003</v>
      </c>
      <c r="E188">
        <v>51.380001</v>
      </c>
      <c r="F188">
        <v>28167500</v>
      </c>
      <c r="G188">
        <v>50.41348</v>
      </c>
      <c r="H188">
        <f t="shared" si="2"/>
        <v>4.1040259567726167E-3</v>
      </c>
    </row>
    <row r="189" spans="1:8" x14ac:dyDescent="0.2">
      <c r="A189" s="20">
        <v>42556</v>
      </c>
      <c r="B189">
        <v>50.830002</v>
      </c>
      <c r="C189">
        <v>51.279998999999997</v>
      </c>
      <c r="D189">
        <v>50.740001999999997</v>
      </c>
      <c r="E189">
        <v>51.169998</v>
      </c>
      <c r="F189">
        <v>24806400</v>
      </c>
      <c r="G189">
        <v>50.207428</v>
      </c>
      <c r="H189">
        <f t="shared" si="2"/>
        <v>1.9542611415168665E-4</v>
      </c>
    </row>
    <row r="190" spans="1:8" x14ac:dyDescent="0.2">
      <c r="A190" s="20">
        <v>42552</v>
      </c>
      <c r="B190">
        <v>51.130001</v>
      </c>
      <c r="C190">
        <v>51.720001000000003</v>
      </c>
      <c r="D190">
        <v>51.07</v>
      </c>
      <c r="E190">
        <v>51.16</v>
      </c>
      <c r="F190">
        <v>21400400</v>
      </c>
      <c r="G190">
        <v>50.197617999999999</v>
      </c>
      <c r="H190">
        <f t="shared" si="2"/>
        <v>-1.9538793024775902E-4</v>
      </c>
    </row>
    <row r="191" spans="1:8" x14ac:dyDescent="0.2">
      <c r="A191" s="20">
        <v>42551</v>
      </c>
      <c r="B191">
        <v>50.720001000000003</v>
      </c>
      <c r="C191">
        <v>51.299999</v>
      </c>
      <c r="D191">
        <v>50.5</v>
      </c>
      <c r="E191">
        <v>51.169998</v>
      </c>
      <c r="F191">
        <v>28527800</v>
      </c>
      <c r="G191">
        <v>50.207428</v>
      </c>
      <c r="H191">
        <f t="shared" si="2"/>
        <v>1.246531435565279E-2</v>
      </c>
    </row>
    <row r="192" spans="1:8" x14ac:dyDescent="0.2">
      <c r="A192" s="20">
        <v>42550</v>
      </c>
      <c r="B192">
        <v>49.91</v>
      </c>
      <c r="C192">
        <v>50.720001000000003</v>
      </c>
      <c r="D192">
        <v>49.799999</v>
      </c>
      <c r="E192">
        <v>50.540000999999997</v>
      </c>
      <c r="F192">
        <v>31304000</v>
      </c>
      <c r="G192">
        <v>49.589281999999997</v>
      </c>
      <c r="H192">
        <f t="shared" si="2"/>
        <v>2.2249231841610539E-2</v>
      </c>
    </row>
    <row r="193" spans="1:8" x14ac:dyDescent="0.2">
      <c r="A193" s="20">
        <v>42549</v>
      </c>
      <c r="B193">
        <v>48.919998</v>
      </c>
      <c r="C193">
        <v>49.470001000000003</v>
      </c>
      <c r="D193">
        <v>48.669998</v>
      </c>
      <c r="E193">
        <v>49.439999</v>
      </c>
      <c r="F193">
        <v>38140700</v>
      </c>
      <c r="G193">
        <v>48.509971999999998</v>
      </c>
      <c r="H193">
        <f t="shared" si="2"/>
        <v>2.0854821391699474E-2</v>
      </c>
    </row>
    <row r="194" spans="1:8" x14ac:dyDescent="0.2">
      <c r="A194" s="20">
        <v>42548</v>
      </c>
      <c r="B194">
        <v>49.099997999999999</v>
      </c>
      <c r="C194">
        <v>49.150002000000001</v>
      </c>
      <c r="D194">
        <v>48.040000999999997</v>
      </c>
      <c r="E194">
        <v>48.43</v>
      </c>
      <c r="F194">
        <v>50216300</v>
      </c>
      <c r="G194">
        <v>47.518973000000003</v>
      </c>
      <c r="H194">
        <f t="shared" si="2"/>
        <v>-2.8095563793073874E-2</v>
      </c>
    </row>
    <row r="195" spans="1:8" x14ac:dyDescent="0.2">
      <c r="A195" s="20">
        <v>42545</v>
      </c>
      <c r="B195">
        <v>49.810001</v>
      </c>
      <c r="C195">
        <v>50.939999</v>
      </c>
      <c r="D195">
        <v>49.52</v>
      </c>
      <c r="E195">
        <v>49.830002</v>
      </c>
      <c r="F195">
        <v>133503000</v>
      </c>
      <c r="G195">
        <v>48.892637999999998</v>
      </c>
      <c r="H195">
        <f t="shared" ref="H195:H253" si="3">E195/E196-1</f>
        <v>-4.0069312271238666E-2</v>
      </c>
    </row>
    <row r="196" spans="1:8" x14ac:dyDescent="0.2">
      <c r="A196" s="20">
        <v>42544</v>
      </c>
      <c r="B196">
        <v>51.279998999999997</v>
      </c>
      <c r="C196">
        <v>52.060001</v>
      </c>
      <c r="D196">
        <v>51.150002000000001</v>
      </c>
      <c r="E196">
        <v>51.91</v>
      </c>
      <c r="F196">
        <v>29028800</v>
      </c>
      <c r="G196">
        <v>50.933509000000001</v>
      </c>
      <c r="H196">
        <f t="shared" si="3"/>
        <v>1.8042713550001421E-2</v>
      </c>
    </row>
    <row r="197" spans="1:8" x14ac:dyDescent="0.2">
      <c r="A197" s="20">
        <v>42543</v>
      </c>
      <c r="B197">
        <v>51.080002</v>
      </c>
      <c r="C197">
        <v>51.459999000000003</v>
      </c>
      <c r="D197">
        <v>50.950001</v>
      </c>
      <c r="E197">
        <v>50.990001999999997</v>
      </c>
      <c r="F197">
        <v>28816800</v>
      </c>
      <c r="G197">
        <v>50.030816999999999</v>
      </c>
      <c r="H197">
        <f t="shared" si="3"/>
        <v>-3.9069545596202016E-3</v>
      </c>
    </row>
    <row r="198" spans="1:8" x14ac:dyDescent="0.2">
      <c r="A198" s="20">
        <v>42542</v>
      </c>
      <c r="B198">
        <v>50.200001</v>
      </c>
      <c r="C198">
        <v>51.43</v>
      </c>
      <c r="D198">
        <v>50.16</v>
      </c>
      <c r="E198">
        <v>51.189999</v>
      </c>
      <c r="F198">
        <v>34097800</v>
      </c>
      <c r="G198">
        <v>50.227052</v>
      </c>
      <c r="H198">
        <f t="shared" si="3"/>
        <v>2.2368663870581118E-2</v>
      </c>
    </row>
    <row r="199" spans="1:8" x14ac:dyDescent="0.2">
      <c r="A199" s="20">
        <v>42541</v>
      </c>
      <c r="B199">
        <v>50.639999000000003</v>
      </c>
      <c r="C199">
        <v>50.830002</v>
      </c>
      <c r="D199">
        <v>50.029998999999997</v>
      </c>
      <c r="E199">
        <v>50.07</v>
      </c>
      <c r="F199">
        <v>35607900</v>
      </c>
      <c r="G199">
        <v>49.128121999999998</v>
      </c>
      <c r="H199">
        <f t="shared" si="3"/>
        <v>-1.1969080152222089E-3</v>
      </c>
    </row>
    <row r="200" spans="1:8" x14ac:dyDescent="0.2">
      <c r="A200" s="20">
        <v>42538</v>
      </c>
      <c r="B200">
        <v>50.41</v>
      </c>
      <c r="C200">
        <v>50.43</v>
      </c>
      <c r="D200">
        <v>49.82</v>
      </c>
      <c r="E200">
        <v>50.130001</v>
      </c>
      <c r="F200">
        <v>45710500</v>
      </c>
      <c r="G200">
        <v>49.186993999999999</v>
      </c>
      <c r="H200">
        <f t="shared" si="3"/>
        <v>-5.1597143314093818E-3</v>
      </c>
    </row>
    <row r="201" spans="1:8" x14ac:dyDescent="0.2">
      <c r="A201" s="20">
        <v>42537</v>
      </c>
      <c r="B201">
        <v>49.52</v>
      </c>
      <c r="C201">
        <v>50.470001000000003</v>
      </c>
      <c r="D201">
        <v>49.509998000000003</v>
      </c>
      <c r="E201">
        <v>50.389999000000003</v>
      </c>
      <c r="F201">
        <v>31188600</v>
      </c>
      <c r="G201">
        <v>49.442101999999998</v>
      </c>
      <c r="H201">
        <f t="shared" si="3"/>
        <v>1.4087341800912645E-2</v>
      </c>
    </row>
    <row r="202" spans="1:8" x14ac:dyDescent="0.2">
      <c r="A202" s="20">
        <v>42536</v>
      </c>
      <c r="B202">
        <v>49.779998999999997</v>
      </c>
      <c r="C202">
        <v>50.119999</v>
      </c>
      <c r="D202">
        <v>49.689999</v>
      </c>
      <c r="E202">
        <v>49.689999</v>
      </c>
      <c r="F202">
        <v>33757600</v>
      </c>
      <c r="G202">
        <v>48.755268999999998</v>
      </c>
      <c r="H202">
        <f t="shared" si="3"/>
        <v>-2.8096125703547248E-3</v>
      </c>
    </row>
    <row r="203" spans="1:8" x14ac:dyDescent="0.2">
      <c r="A203" s="20">
        <v>42535</v>
      </c>
      <c r="B203">
        <v>49.900002000000001</v>
      </c>
      <c r="C203">
        <v>50.099997999999999</v>
      </c>
      <c r="D203">
        <v>49.57</v>
      </c>
      <c r="E203">
        <v>49.830002</v>
      </c>
      <c r="F203">
        <v>42577100</v>
      </c>
      <c r="G203">
        <v>48.892637999999998</v>
      </c>
      <c r="H203">
        <f t="shared" si="3"/>
        <v>-6.1826287631159271E-3</v>
      </c>
    </row>
    <row r="204" spans="1:8" x14ac:dyDescent="0.2">
      <c r="A204" s="20">
        <v>42534</v>
      </c>
      <c r="B204">
        <v>49.580002</v>
      </c>
      <c r="C204">
        <v>50.720001000000003</v>
      </c>
      <c r="D204">
        <v>49.060001</v>
      </c>
      <c r="E204">
        <v>50.139999000000003</v>
      </c>
      <c r="F204">
        <v>83217800</v>
      </c>
      <c r="G204">
        <v>49.196804999999998</v>
      </c>
      <c r="H204">
        <f t="shared" si="3"/>
        <v>-2.6029545454545389E-2</v>
      </c>
    </row>
    <row r="205" spans="1:8" x14ac:dyDescent="0.2">
      <c r="A205" s="20">
        <v>42531</v>
      </c>
      <c r="B205">
        <v>51.049999</v>
      </c>
      <c r="C205">
        <v>52.049999</v>
      </c>
      <c r="D205">
        <v>51.040000999999997</v>
      </c>
      <c r="E205">
        <v>51.48</v>
      </c>
      <c r="F205">
        <v>25833200</v>
      </c>
      <c r="G205">
        <v>50.511597999999999</v>
      </c>
      <c r="H205">
        <f t="shared" si="3"/>
        <v>-2.7121077627297874E-3</v>
      </c>
    </row>
    <row r="206" spans="1:8" x14ac:dyDescent="0.2">
      <c r="A206" s="20">
        <v>42530</v>
      </c>
      <c r="B206">
        <v>52</v>
      </c>
      <c r="C206">
        <v>52</v>
      </c>
      <c r="D206">
        <v>51.490001999999997</v>
      </c>
      <c r="E206">
        <v>51.619999</v>
      </c>
      <c r="F206">
        <v>20305700</v>
      </c>
      <c r="G206">
        <v>50.648963000000002</v>
      </c>
      <c r="H206">
        <f t="shared" si="3"/>
        <v>-8.0707531116303022E-3</v>
      </c>
    </row>
    <row r="207" spans="1:8" x14ac:dyDescent="0.2">
      <c r="A207" s="20">
        <v>42529</v>
      </c>
      <c r="B207">
        <v>52.02</v>
      </c>
      <c r="C207">
        <v>52.439999</v>
      </c>
      <c r="D207">
        <v>51.869999</v>
      </c>
      <c r="E207">
        <v>52.040000999999997</v>
      </c>
      <c r="F207">
        <v>21149400</v>
      </c>
      <c r="G207">
        <v>51.061064999999999</v>
      </c>
      <c r="H207">
        <f t="shared" si="3"/>
        <v>-1.151573940559536E-3</v>
      </c>
    </row>
    <row r="208" spans="1:8" x14ac:dyDescent="0.2">
      <c r="A208" s="20">
        <v>42528</v>
      </c>
      <c r="B208">
        <v>52.240001999999997</v>
      </c>
      <c r="C208">
        <v>52.73</v>
      </c>
      <c r="D208">
        <v>52.099997999999999</v>
      </c>
      <c r="E208">
        <v>52.099997999999999</v>
      </c>
      <c r="F208">
        <v>20866800</v>
      </c>
      <c r="G208">
        <v>51.119934000000001</v>
      </c>
      <c r="H208">
        <f t="shared" si="3"/>
        <v>-5.7554190340414202E-4</v>
      </c>
    </row>
    <row r="209" spans="1:8" x14ac:dyDescent="0.2">
      <c r="A209" s="20">
        <v>42527</v>
      </c>
      <c r="B209">
        <v>51.990001999999997</v>
      </c>
      <c r="C209">
        <v>52.349997999999999</v>
      </c>
      <c r="D209">
        <v>51.889999000000003</v>
      </c>
      <c r="E209">
        <v>52.130001</v>
      </c>
      <c r="F209">
        <v>18243300</v>
      </c>
      <c r="G209">
        <v>51.149372</v>
      </c>
      <c r="H209">
        <f t="shared" si="3"/>
        <v>6.5649738064303964E-3</v>
      </c>
    </row>
    <row r="210" spans="1:8" x14ac:dyDescent="0.2">
      <c r="A210" s="20">
        <v>42524</v>
      </c>
      <c r="B210">
        <v>52.380001</v>
      </c>
      <c r="C210">
        <v>52.419998</v>
      </c>
      <c r="D210">
        <v>51.599997999999999</v>
      </c>
      <c r="E210">
        <v>51.790000999999997</v>
      </c>
      <c r="F210">
        <v>23081300</v>
      </c>
      <c r="G210">
        <v>50.815767999999998</v>
      </c>
      <c r="H210">
        <f t="shared" si="3"/>
        <v>-1.3147846798780449E-2</v>
      </c>
    </row>
    <row r="211" spans="1:8" x14ac:dyDescent="0.2">
      <c r="A211" s="20">
        <v>42523</v>
      </c>
      <c r="B211">
        <v>52.639999000000003</v>
      </c>
      <c r="C211">
        <v>52.740001999999997</v>
      </c>
      <c r="D211">
        <v>51.84</v>
      </c>
      <c r="E211">
        <v>52.48</v>
      </c>
      <c r="F211">
        <v>22840800</v>
      </c>
      <c r="G211">
        <v>51.492786000000002</v>
      </c>
      <c r="H211">
        <f t="shared" si="3"/>
        <v>-7.0009084957770584E-3</v>
      </c>
    </row>
    <row r="212" spans="1:8" x14ac:dyDescent="0.2">
      <c r="A212" s="20">
        <v>42522</v>
      </c>
      <c r="B212">
        <v>52.439999</v>
      </c>
      <c r="C212">
        <v>52.950001</v>
      </c>
      <c r="D212">
        <v>52.439999</v>
      </c>
      <c r="E212">
        <v>52.849997999999999</v>
      </c>
      <c r="F212">
        <v>25324800</v>
      </c>
      <c r="G212">
        <v>51.855825000000003</v>
      </c>
      <c r="H212">
        <f t="shared" si="3"/>
        <v>-2.830226415094339E-3</v>
      </c>
    </row>
    <row r="213" spans="1:8" x14ac:dyDescent="0.2">
      <c r="A213" s="20">
        <v>42521</v>
      </c>
      <c r="B213">
        <v>52.259998000000003</v>
      </c>
      <c r="C213">
        <v>53</v>
      </c>
      <c r="D213">
        <v>52.080002</v>
      </c>
      <c r="E213">
        <v>53</v>
      </c>
      <c r="F213">
        <v>37653100</v>
      </c>
      <c r="G213">
        <v>52.003005000000002</v>
      </c>
      <c r="H213">
        <f t="shared" si="3"/>
        <v>1.2996941896024516E-2</v>
      </c>
    </row>
    <row r="214" spans="1:8" x14ac:dyDescent="0.2">
      <c r="A214" s="20">
        <v>42517</v>
      </c>
      <c r="B214">
        <v>51.919998</v>
      </c>
      <c r="C214">
        <v>52.32</v>
      </c>
      <c r="D214">
        <v>51.77</v>
      </c>
      <c r="E214">
        <v>52.32</v>
      </c>
      <c r="F214">
        <v>17653700</v>
      </c>
      <c r="G214">
        <v>51.335796000000002</v>
      </c>
      <c r="H214">
        <f t="shared" si="3"/>
        <v>8.2867798860430941E-3</v>
      </c>
    </row>
    <row r="215" spans="1:8" x14ac:dyDescent="0.2">
      <c r="A215" s="20">
        <v>42516</v>
      </c>
      <c r="B215">
        <v>51.93</v>
      </c>
      <c r="C215">
        <v>51.98</v>
      </c>
      <c r="D215">
        <v>51.360000999999997</v>
      </c>
      <c r="E215">
        <v>51.889999000000003</v>
      </c>
      <c r="F215">
        <v>24335200</v>
      </c>
      <c r="G215">
        <v>50.913885000000001</v>
      </c>
      <c r="H215">
        <f t="shared" si="3"/>
        <v>-4.4128934077684034E-3</v>
      </c>
    </row>
    <row r="216" spans="1:8" x14ac:dyDescent="0.2">
      <c r="A216" s="20">
        <v>42515</v>
      </c>
      <c r="B216">
        <v>51.919998</v>
      </c>
      <c r="C216">
        <v>52.490001999999997</v>
      </c>
      <c r="D216">
        <v>51.790000999999997</v>
      </c>
      <c r="E216">
        <v>52.119999</v>
      </c>
      <c r="F216">
        <v>24040200</v>
      </c>
      <c r="G216">
        <v>51.139558000000001</v>
      </c>
      <c r="H216">
        <f t="shared" si="3"/>
        <v>1.0273289397169982E-2</v>
      </c>
    </row>
    <row r="217" spans="1:8" x14ac:dyDescent="0.2">
      <c r="A217" s="20">
        <v>42514</v>
      </c>
      <c r="B217">
        <v>50.700001</v>
      </c>
      <c r="C217">
        <v>51.709999000000003</v>
      </c>
      <c r="D217">
        <v>50.400002000000001</v>
      </c>
      <c r="E217">
        <v>51.59</v>
      </c>
      <c r="F217">
        <v>34757900</v>
      </c>
      <c r="G217">
        <v>50.619529</v>
      </c>
      <c r="H217">
        <f t="shared" si="3"/>
        <v>3.1181311836524506E-2</v>
      </c>
    </row>
    <row r="218" spans="1:8" x14ac:dyDescent="0.2">
      <c r="A218" s="20">
        <v>42513</v>
      </c>
      <c r="B218">
        <v>50.599997999999999</v>
      </c>
      <c r="C218">
        <v>50.68</v>
      </c>
      <c r="D218">
        <v>49.98</v>
      </c>
      <c r="E218">
        <v>50.029998999999997</v>
      </c>
      <c r="F218">
        <v>26118700</v>
      </c>
      <c r="G218">
        <v>49.088873</v>
      </c>
      <c r="H218">
        <f t="shared" si="3"/>
        <v>-1.1655472375651454E-2</v>
      </c>
    </row>
    <row r="219" spans="1:8" x14ac:dyDescent="0.2">
      <c r="A219" s="20">
        <v>42510</v>
      </c>
      <c r="B219">
        <v>50.48</v>
      </c>
      <c r="C219">
        <v>51.220001000000003</v>
      </c>
      <c r="D219">
        <v>50.400002000000001</v>
      </c>
      <c r="E219">
        <v>50.619999</v>
      </c>
      <c r="F219">
        <v>23905800</v>
      </c>
      <c r="G219">
        <v>49.667774999999999</v>
      </c>
      <c r="H219">
        <f t="shared" si="3"/>
        <v>5.9618243243242386E-3</v>
      </c>
    </row>
    <row r="220" spans="1:8" x14ac:dyDescent="0.2">
      <c r="A220" s="20">
        <v>42509</v>
      </c>
      <c r="B220">
        <v>50.470001000000003</v>
      </c>
      <c r="C220">
        <v>50.619999</v>
      </c>
      <c r="D220">
        <v>49.82</v>
      </c>
      <c r="E220">
        <v>50.32</v>
      </c>
      <c r="F220">
        <v>23842400</v>
      </c>
      <c r="G220">
        <v>49.373418999999998</v>
      </c>
      <c r="H220">
        <f t="shared" si="3"/>
        <v>-9.6437904026019927E-3</v>
      </c>
    </row>
    <row r="221" spans="1:8" x14ac:dyDescent="0.2">
      <c r="A221" s="20">
        <v>42508</v>
      </c>
      <c r="B221">
        <v>50.48</v>
      </c>
      <c r="C221">
        <v>51.139999000000003</v>
      </c>
      <c r="D221">
        <v>50.299999</v>
      </c>
      <c r="E221">
        <v>50.810001</v>
      </c>
      <c r="F221">
        <v>24907500</v>
      </c>
      <c r="G221">
        <v>49.854202999999998</v>
      </c>
      <c r="H221">
        <f t="shared" si="3"/>
        <v>5.9394775664016741E-3</v>
      </c>
    </row>
    <row r="222" spans="1:8" x14ac:dyDescent="0.2">
      <c r="A222" s="20">
        <v>42507</v>
      </c>
      <c r="B222">
        <v>51.720001000000003</v>
      </c>
      <c r="C222">
        <v>51.73</v>
      </c>
      <c r="D222">
        <v>50.360000999999997</v>
      </c>
      <c r="E222">
        <v>50.509998000000003</v>
      </c>
      <c r="F222">
        <v>27803500</v>
      </c>
      <c r="G222">
        <v>49.559843000000001</v>
      </c>
      <c r="H222">
        <f t="shared" si="3"/>
        <v>-2.5467951940268074E-2</v>
      </c>
    </row>
    <row r="223" spans="1:8" x14ac:dyDescent="0.2">
      <c r="A223" s="20">
        <v>42506</v>
      </c>
      <c r="B223">
        <v>50.799999</v>
      </c>
      <c r="C223">
        <v>51.959999000000003</v>
      </c>
      <c r="D223">
        <v>50.75</v>
      </c>
      <c r="E223">
        <v>51.830002</v>
      </c>
      <c r="F223">
        <v>20032000</v>
      </c>
      <c r="G223">
        <v>50.501787</v>
      </c>
      <c r="H223">
        <f t="shared" si="3"/>
        <v>1.4682849855800706E-2</v>
      </c>
    </row>
    <row r="224" spans="1:8" x14ac:dyDescent="0.2">
      <c r="A224" s="20">
        <v>42503</v>
      </c>
      <c r="B224">
        <v>51.439999</v>
      </c>
      <c r="C224">
        <v>51.900002000000001</v>
      </c>
      <c r="D224">
        <v>51.040000999999997</v>
      </c>
      <c r="E224">
        <v>51.080002</v>
      </c>
      <c r="F224">
        <v>22592300</v>
      </c>
      <c r="G224">
        <v>49.771006999999997</v>
      </c>
      <c r="H224">
        <f t="shared" si="3"/>
        <v>-8.3478162821905011E-3</v>
      </c>
    </row>
    <row r="225" spans="1:8" x14ac:dyDescent="0.2">
      <c r="A225" s="20">
        <v>42502</v>
      </c>
      <c r="B225">
        <v>51.200001</v>
      </c>
      <c r="C225">
        <v>51.810001</v>
      </c>
      <c r="D225">
        <v>50.919998</v>
      </c>
      <c r="E225">
        <v>51.509998000000003</v>
      </c>
      <c r="F225">
        <v>24102800</v>
      </c>
      <c r="G225">
        <v>50.189984000000003</v>
      </c>
      <c r="H225">
        <f t="shared" si="3"/>
        <v>9.0107543390942624E-3</v>
      </c>
    </row>
    <row r="226" spans="1:8" x14ac:dyDescent="0.2">
      <c r="A226" s="20">
        <v>42501</v>
      </c>
      <c r="B226">
        <v>51.130001</v>
      </c>
      <c r="C226">
        <v>51.779998999999997</v>
      </c>
      <c r="D226">
        <v>51</v>
      </c>
      <c r="E226">
        <v>51.049999</v>
      </c>
      <c r="F226">
        <v>24039100</v>
      </c>
      <c r="G226">
        <v>49.741773999999999</v>
      </c>
      <c r="H226">
        <f t="shared" si="3"/>
        <v>5.8798510388080594E-4</v>
      </c>
    </row>
    <row r="227" spans="1:8" x14ac:dyDescent="0.2">
      <c r="A227" s="20">
        <v>42500</v>
      </c>
      <c r="B227">
        <v>50.330002</v>
      </c>
      <c r="C227">
        <v>51.099997999999999</v>
      </c>
      <c r="D227">
        <v>50.189999</v>
      </c>
      <c r="E227">
        <v>51.02</v>
      </c>
      <c r="F227">
        <v>22891000</v>
      </c>
      <c r="G227">
        <v>49.712542999999997</v>
      </c>
      <c r="H227">
        <f t="shared" si="3"/>
        <v>1.897343718793687E-2</v>
      </c>
    </row>
    <row r="228" spans="1:8" x14ac:dyDescent="0.2">
      <c r="A228" s="20">
        <v>42499</v>
      </c>
      <c r="B228">
        <v>50.490001999999997</v>
      </c>
      <c r="C228">
        <v>50.59</v>
      </c>
      <c r="D228">
        <v>50</v>
      </c>
      <c r="E228">
        <v>50.07</v>
      </c>
      <c r="F228">
        <v>17951600</v>
      </c>
      <c r="G228">
        <v>48.786887999999998</v>
      </c>
      <c r="H228">
        <f t="shared" si="3"/>
        <v>-6.3504466431920648E-3</v>
      </c>
    </row>
    <row r="229" spans="1:8" x14ac:dyDescent="0.2">
      <c r="A229" s="20">
        <v>42496</v>
      </c>
      <c r="B229">
        <v>49.919998</v>
      </c>
      <c r="C229">
        <v>50.389999000000003</v>
      </c>
      <c r="D229">
        <v>49.66</v>
      </c>
      <c r="E229">
        <v>50.389999000000003</v>
      </c>
      <c r="F229">
        <v>24715600</v>
      </c>
      <c r="G229">
        <v>49.098686999999998</v>
      </c>
      <c r="H229">
        <f t="shared" si="3"/>
        <v>9.0108131560036053E-3</v>
      </c>
    </row>
    <row r="230" spans="1:8" x14ac:dyDescent="0.2">
      <c r="A230" s="20">
        <v>42495</v>
      </c>
      <c r="B230">
        <v>49.869999</v>
      </c>
      <c r="C230">
        <v>50.299999</v>
      </c>
      <c r="D230">
        <v>49.73</v>
      </c>
      <c r="E230">
        <v>49.939999</v>
      </c>
      <c r="F230">
        <v>25390700</v>
      </c>
      <c r="G230">
        <v>48.660218</v>
      </c>
      <c r="H230">
        <f t="shared" si="3"/>
        <v>1.4036495168168184E-3</v>
      </c>
    </row>
    <row r="231" spans="1:8" x14ac:dyDescent="0.2">
      <c r="A231" s="20">
        <v>42494</v>
      </c>
      <c r="B231">
        <v>49.84</v>
      </c>
      <c r="C231">
        <v>50.060001</v>
      </c>
      <c r="D231">
        <v>49.459999000000003</v>
      </c>
      <c r="E231">
        <v>49.869999</v>
      </c>
      <c r="F231">
        <v>24257600</v>
      </c>
      <c r="G231">
        <v>48.592011999999997</v>
      </c>
      <c r="H231">
        <f t="shared" si="3"/>
        <v>1.8079550383278686E-3</v>
      </c>
    </row>
    <row r="232" spans="1:8" x14ac:dyDescent="0.2">
      <c r="A232" s="20">
        <v>42493</v>
      </c>
      <c r="B232">
        <v>50.34</v>
      </c>
      <c r="C232">
        <v>50.41</v>
      </c>
      <c r="D232">
        <v>49.599997999999999</v>
      </c>
      <c r="E232">
        <v>49.779998999999997</v>
      </c>
      <c r="F232">
        <v>26460200</v>
      </c>
      <c r="G232">
        <v>48.504319000000002</v>
      </c>
      <c r="H232">
        <f t="shared" si="3"/>
        <v>-1.6399960158072324E-2</v>
      </c>
    </row>
    <row r="233" spans="1:8" x14ac:dyDescent="0.2">
      <c r="A233" s="20">
        <v>42492</v>
      </c>
      <c r="B233">
        <v>50</v>
      </c>
      <c r="C233">
        <v>50.75</v>
      </c>
      <c r="D233">
        <v>49.779998999999997</v>
      </c>
      <c r="E233">
        <v>50.610000999999997</v>
      </c>
      <c r="F233">
        <v>33114500</v>
      </c>
      <c r="G233">
        <v>49.313049999999997</v>
      </c>
      <c r="H233">
        <f t="shared" si="3"/>
        <v>1.4838620710619921E-2</v>
      </c>
    </row>
    <row r="234" spans="1:8" x14ac:dyDescent="0.2">
      <c r="A234" s="20">
        <v>42489</v>
      </c>
      <c r="B234">
        <v>49.349997999999999</v>
      </c>
      <c r="C234">
        <v>50.25</v>
      </c>
      <c r="D234">
        <v>49.349997999999999</v>
      </c>
      <c r="E234">
        <v>49.869999</v>
      </c>
      <c r="F234">
        <v>48411700</v>
      </c>
      <c r="G234">
        <v>48.592011999999997</v>
      </c>
      <c r="H234">
        <f t="shared" si="3"/>
        <v>-6.0126250095138278E-4</v>
      </c>
    </row>
    <row r="235" spans="1:8" x14ac:dyDescent="0.2">
      <c r="A235" s="20">
        <v>42488</v>
      </c>
      <c r="B235">
        <v>50.619999</v>
      </c>
      <c r="C235">
        <v>50.77</v>
      </c>
      <c r="D235">
        <v>49.560001</v>
      </c>
      <c r="E235">
        <v>49.900002000000001</v>
      </c>
      <c r="F235">
        <v>43134800</v>
      </c>
      <c r="G235">
        <v>48.621245999999999</v>
      </c>
      <c r="H235">
        <f t="shared" si="3"/>
        <v>-2.0416117401180101E-2</v>
      </c>
    </row>
    <row r="236" spans="1:8" x14ac:dyDescent="0.2">
      <c r="A236" s="20">
        <v>42487</v>
      </c>
      <c r="B236">
        <v>51.48</v>
      </c>
      <c r="C236">
        <v>51.5</v>
      </c>
      <c r="D236">
        <v>50.549999</v>
      </c>
      <c r="E236">
        <v>50.939999</v>
      </c>
      <c r="F236">
        <v>43369300</v>
      </c>
      <c r="G236">
        <v>49.634591999999998</v>
      </c>
      <c r="H236">
        <f t="shared" si="3"/>
        <v>-9.720062397357343E-3</v>
      </c>
    </row>
    <row r="237" spans="1:8" x14ac:dyDescent="0.2">
      <c r="A237" s="20">
        <v>42486</v>
      </c>
      <c r="B237">
        <v>52.259998000000003</v>
      </c>
      <c r="C237">
        <v>52.349997999999999</v>
      </c>
      <c r="D237">
        <v>51.09</v>
      </c>
      <c r="E237">
        <v>51.439999</v>
      </c>
      <c r="F237">
        <v>33532600</v>
      </c>
      <c r="G237">
        <v>50.121778999999997</v>
      </c>
      <c r="H237">
        <f t="shared" si="3"/>
        <v>-1.2857455136107143E-2</v>
      </c>
    </row>
    <row r="238" spans="1:8" x14ac:dyDescent="0.2">
      <c r="A238" s="20">
        <v>42485</v>
      </c>
      <c r="B238">
        <v>51.779998999999997</v>
      </c>
      <c r="C238">
        <v>52.130001</v>
      </c>
      <c r="D238">
        <v>51.630001</v>
      </c>
      <c r="E238">
        <v>52.110000999999997</v>
      </c>
      <c r="F238">
        <v>33226900</v>
      </c>
      <c r="G238">
        <v>50.774611</v>
      </c>
      <c r="H238">
        <f t="shared" si="3"/>
        <v>6.3731557816368856E-3</v>
      </c>
    </row>
    <row r="239" spans="1:8" x14ac:dyDescent="0.2">
      <c r="A239" s="20">
        <v>42482</v>
      </c>
      <c r="B239">
        <v>51.91</v>
      </c>
      <c r="C239">
        <v>52.43</v>
      </c>
      <c r="D239">
        <v>50.77</v>
      </c>
      <c r="E239">
        <v>51.779998999999997</v>
      </c>
      <c r="F239">
        <v>126834100</v>
      </c>
      <c r="G239">
        <v>50.453066</v>
      </c>
      <c r="H239">
        <f t="shared" si="3"/>
        <v>-7.1710291712267726E-2</v>
      </c>
    </row>
    <row r="240" spans="1:8" x14ac:dyDescent="0.2">
      <c r="A240" s="20">
        <v>42481</v>
      </c>
      <c r="B240">
        <v>55.799999</v>
      </c>
      <c r="C240">
        <v>56.23</v>
      </c>
      <c r="D240">
        <v>55.419998</v>
      </c>
      <c r="E240">
        <v>55.779998999999997</v>
      </c>
      <c r="F240">
        <v>38909100</v>
      </c>
      <c r="G240">
        <v>54.350560000000002</v>
      </c>
      <c r="H240">
        <f t="shared" si="3"/>
        <v>3.417862924986359E-3</v>
      </c>
    </row>
    <row r="241" spans="1:8" x14ac:dyDescent="0.2">
      <c r="A241" s="20">
        <v>42480</v>
      </c>
      <c r="B241">
        <v>56.290000999999997</v>
      </c>
      <c r="C241">
        <v>56.5</v>
      </c>
      <c r="D241">
        <v>55.490001999999997</v>
      </c>
      <c r="E241">
        <v>55.59</v>
      </c>
      <c r="F241">
        <v>36195700</v>
      </c>
      <c r="G241">
        <v>54.165430999999998</v>
      </c>
      <c r="H241">
        <f t="shared" si="3"/>
        <v>-1.418689509109583E-2</v>
      </c>
    </row>
    <row r="242" spans="1:8" x14ac:dyDescent="0.2">
      <c r="A242" s="20">
        <v>42479</v>
      </c>
      <c r="B242">
        <v>56.630001</v>
      </c>
      <c r="C242">
        <v>56.77</v>
      </c>
      <c r="D242">
        <v>55.68</v>
      </c>
      <c r="E242">
        <v>56.389999000000003</v>
      </c>
      <c r="F242">
        <v>29596800</v>
      </c>
      <c r="G242">
        <v>54.944929000000002</v>
      </c>
      <c r="H242">
        <f t="shared" si="3"/>
        <v>-1.2398158207548304E-3</v>
      </c>
    </row>
    <row r="243" spans="1:8" x14ac:dyDescent="0.2">
      <c r="A243" s="20">
        <v>42478</v>
      </c>
      <c r="B243">
        <v>55.490001999999997</v>
      </c>
      <c r="C243">
        <v>56.59</v>
      </c>
      <c r="D243">
        <v>55.209999000000003</v>
      </c>
      <c r="E243">
        <v>56.459999000000003</v>
      </c>
      <c r="F243">
        <v>23150300</v>
      </c>
      <c r="G243">
        <v>55.013134999999998</v>
      </c>
      <c r="H243">
        <f t="shared" si="3"/>
        <v>1.4555201633236203E-2</v>
      </c>
    </row>
    <row r="244" spans="1:8" x14ac:dyDescent="0.2">
      <c r="A244" s="20">
        <v>42475</v>
      </c>
      <c r="B244">
        <v>55.299999</v>
      </c>
      <c r="C244">
        <v>55.919998</v>
      </c>
      <c r="D244">
        <v>55.110000999999997</v>
      </c>
      <c r="E244">
        <v>55.650002000000001</v>
      </c>
      <c r="F244">
        <v>28793800</v>
      </c>
      <c r="G244">
        <v>54.223894000000001</v>
      </c>
      <c r="H244">
        <f t="shared" si="3"/>
        <v>5.2384572753170211E-3</v>
      </c>
    </row>
    <row r="245" spans="1:8" x14ac:dyDescent="0.2">
      <c r="A245" s="20">
        <v>42474</v>
      </c>
      <c r="B245">
        <v>55.220001000000003</v>
      </c>
      <c r="C245">
        <v>55.580002</v>
      </c>
      <c r="D245">
        <v>55.07</v>
      </c>
      <c r="E245">
        <v>55.360000999999997</v>
      </c>
      <c r="F245">
        <v>20877100</v>
      </c>
      <c r="G245">
        <v>53.941324999999999</v>
      </c>
      <c r="H245">
        <f t="shared" si="3"/>
        <v>1.8072268042357287E-4</v>
      </c>
    </row>
    <row r="246" spans="1:8" x14ac:dyDescent="0.2">
      <c r="A246" s="20">
        <v>42473</v>
      </c>
      <c r="B246">
        <v>55.119999</v>
      </c>
      <c r="C246">
        <v>55.439999</v>
      </c>
      <c r="D246">
        <v>54.889999000000003</v>
      </c>
      <c r="E246">
        <v>55.349997999999999</v>
      </c>
      <c r="F246">
        <v>20818000</v>
      </c>
      <c r="G246">
        <v>53.931578999999999</v>
      </c>
      <c r="H246">
        <f t="shared" si="3"/>
        <v>1.280870950379831E-2</v>
      </c>
    </row>
    <row r="247" spans="1:8" x14ac:dyDescent="0.2">
      <c r="A247" s="20">
        <v>42472</v>
      </c>
      <c r="B247">
        <v>54.369999</v>
      </c>
      <c r="C247">
        <v>54.779998999999997</v>
      </c>
      <c r="D247">
        <v>53.759998000000003</v>
      </c>
      <c r="E247">
        <v>54.650002000000001</v>
      </c>
      <c r="F247">
        <v>24944300</v>
      </c>
      <c r="G247">
        <v>53.249521000000001</v>
      </c>
      <c r="H247">
        <f t="shared" si="3"/>
        <v>6.2603755061614308E-3</v>
      </c>
    </row>
    <row r="248" spans="1:8" x14ac:dyDescent="0.2">
      <c r="A248" s="20">
        <v>42471</v>
      </c>
      <c r="B248">
        <v>54.490001999999997</v>
      </c>
      <c r="C248">
        <v>55.150002000000001</v>
      </c>
      <c r="D248">
        <v>54.299999</v>
      </c>
      <c r="E248">
        <v>54.310001</v>
      </c>
      <c r="F248">
        <v>21414200</v>
      </c>
      <c r="G248">
        <v>52.918233999999998</v>
      </c>
      <c r="H248">
        <f t="shared" si="3"/>
        <v>-2.0212606402520983E-3</v>
      </c>
    </row>
    <row r="249" spans="1:8" x14ac:dyDescent="0.2">
      <c r="A249" s="20">
        <v>42468</v>
      </c>
      <c r="B249">
        <v>54.669998</v>
      </c>
      <c r="C249">
        <v>55.279998999999997</v>
      </c>
      <c r="D249">
        <v>54.32</v>
      </c>
      <c r="E249">
        <v>54.419998</v>
      </c>
      <c r="F249">
        <v>22167200</v>
      </c>
      <c r="G249">
        <v>53.025412000000003</v>
      </c>
      <c r="H249">
        <f t="shared" si="3"/>
        <v>-7.3450240056016636E-4</v>
      </c>
    </row>
    <row r="250" spans="1:8" x14ac:dyDescent="0.2">
      <c r="A250" s="20">
        <v>42467</v>
      </c>
      <c r="B250">
        <v>54.869999</v>
      </c>
      <c r="C250">
        <v>54.91</v>
      </c>
      <c r="D250">
        <v>54.23</v>
      </c>
      <c r="E250">
        <v>54.459999000000003</v>
      </c>
      <c r="F250">
        <v>19225100</v>
      </c>
      <c r="G250">
        <v>53.064387000000004</v>
      </c>
      <c r="H250">
        <f t="shared" si="3"/>
        <v>-1.1973875398655132E-2</v>
      </c>
    </row>
    <row r="251" spans="1:8" x14ac:dyDescent="0.2">
      <c r="A251" s="20">
        <v>42466</v>
      </c>
      <c r="B251">
        <v>54.360000999999997</v>
      </c>
      <c r="C251">
        <v>55.200001</v>
      </c>
      <c r="D251">
        <v>54.209999000000003</v>
      </c>
      <c r="E251">
        <v>55.119999</v>
      </c>
      <c r="F251">
        <v>21188700</v>
      </c>
      <c r="G251">
        <v>53.707473999999998</v>
      </c>
      <c r="H251">
        <f t="shared" si="3"/>
        <v>1.0263892773755723E-2</v>
      </c>
    </row>
    <row r="252" spans="1:8" x14ac:dyDescent="0.2">
      <c r="A252" s="20">
        <v>42465</v>
      </c>
      <c r="B252">
        <v>55.189999</v>
      </c>
      <c r="C252">
        <v>55.299999</v>
      </c>
      <c r="D252">
        <v>54.459999000000003</v>
      </c>
      <c r="E252">
        <v>54.560001</v>
      </c>
      <c r="F252">
        <v>19272300</v>
      </c>
      <c r="G252">
        <v>53.161827000000002</v>
      </c>
      <c r="H252">
        <f t="shared" si="3"/>
        <v>-1.5695453725419473E-2</v>
      </c>
    </row>
    <row r="253" spans="1:8" x14ac:dyDescent="0.2">
      <c r="A253" s="20">
        <v>42464</v>
      </c>
      <c r="B253">
        <v>55.43</v>
      </c>
      <c r="C253">
        <v>55.66</v>
      </c>
      <c r="D253">
        <v>55</v>
      </c>
      <c r="E253">
        <v>55.43</v>
      </c>
      <c r="F253">
        <v>18928800</v>
      </c>
      <c r="G253">
        <v>54.009531000000003</v>
      </c>
      <c r="H253" t="e">
        <f t="shared" si="3"/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24</vt:i4>
      </vt:variant>
    </vt:vector>
  </HeadingPairs>
  <TitlesOfParts>
    <vt:vector size="33" baseType="lpstr">
      <vt:lpstr>Black_Scholes</vt:lpstr>
      <vt:lpstr>Black_Scholes Optional</vt:lpstr>
      <vt:lpstr>Binomial_model_MSFT data</vt:lpstr>
      <vt:lpstr>Binomial_Tree</vt:lpstr>
      <vt:lpstr>WTI Analysis</vt:lpstr>
      <vt:lpstr>VBA - Black Scholes and Greeks</vt:lpstr>
      <vt:lpstr>VBA - Binomial 5  Steps</vt:lpstr>
      <vt:lpstr>VBA WTI Analysis</vt:lpstr>
      <vt:lpstr>MSFT</vt:lpstr>
      <vt:lpstr>Dividend3</vt:lpstr>
      <vt:lpstr>Dividend4</vt:lpstr>
      <vt:lpstr>DividendYield</vt:lpstr>
      <vt:lpstr>DivYield</vt:lpstr>
      <vt:lpstr>nSteps</vt:lpstr>
      <vt:lpstr>nsteps2</vt:lpstr>
      <vt:lpstr>Risk_Free_Rate</vt:lpstr>
      <vt:lpstr>RiskFreeRate3</vt:lpstr>
      <vt:lpstr>RiskFreeRate4</vt:lpstr>
      <vt:lpstr>sigma</vt:lpstr>
      <vt:lpstr>sigma2</vt:lpstr>
      <vt:lpstr>Spot_Price</vt:lpstr>
      <vt:lpstr>SpotPrice</vt:lpstr>
      <vt:lpstr>StockPrice3</vt:lpstr>
      <vt:lpstr>StockPrice4</vt:lpstr>
      <vt:lpstr>Strike_Price</vt:lpstr>
      <vt:lpstr>StrikePrice3</vt:lpstr>
      <vt:lpstr>StrikePrice4</vt:lpstr>
      <vt:lpstr>Time_to_maturity</vt:lpstr>
      <vt:lpstr>TimeToExpiry3</vt:lpstr>
      <vt:lpstr>TimeToExpiry4</vt:lpstr>
      <vt:lpstr>TimeToMaturity</vt:lpstr>
      <vt:lpstr>Volatility3</vt:lpstr>
      <vt:lpstr>Volatility4</vt:lpstr>
    </vt:vector>
  </TitlesOfParts>
  <Company>www.OptionTradingTips.com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Nikolas Pareschi</cp:lastModifiedBy>
  <dcterms:created xsi:type="dcterms:W3CDTF">2004-07-13T06:23:33Z</dcterms:created>
  <dcterms:modified xsi:type="dcterms:W3CDTF">2017-04-09T22:33:01Z</dcterms:modified>
</cp:coreProperties>
</file>